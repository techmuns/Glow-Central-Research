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.shortcut-targets-by-id\11hejHr0FHqvhSsDHer2RN4GGphTMiWNC\Market Valuations and Key Products Deck\Weekly MF Data\14-08-26\"/>
    </mc:Choice>
  </mc:AlternateContent>
  <xr:revisionPtr revIDLastSave="0" documentId="13_ncr:1_{380E2609-1A6F-42C4-935B-50A55AC6D972}" xr6:coauthVersionLast="47" xr6:coauthVersionMax="47" xr10:uidLastSave="{00000000-0000-0000-0000-000000000000}"/>
  <bookViews>
    <workbookView xWindow="-110" yWindow="-110" windowWidth="19420" windowHeight="11500" tabRatio="500" firstSheet="24" activeTab="26" xr2:uid="{00000000-000D-0000-FFFF-FFFF00000000}"/>
  </bookViews>
  <sheets>
    <sheet name="Small Cap" sheetId="1" r:id="rId1"/>
    <sheet name="Mid Cap" sheetId="2" r:id="rId2"/>
    <sheet name="Flexi Cap" sheetId="7" r:id="rId3"/>
    <sheet name="Large Cap" sheetId="3" r:id="rId4"/>
    <sheet name="Contra Fund" sheetId="4" r:id="rId5"/>
    <sheet name="Dividend Yield Funds" sheetId="5" r:id="rId6"/>
    <sheet name="ELSS" sheetId="6" r:id="rId7"/>
    <sheet name="Focused Funds" sheetId="8" r:id="rId8"/>
    <sheet name="Large&amp;Mid" sheetId="9" r:id="rId9"/>
    <sheet name="Multi Cap" sheetId="10" r:id="rId10"/>
    <sheet name="Value Funds" sheetId="11" r:id="rId11"/>
    <sheet name="Arbitrage Funds" sheetId="12" r:id="rId12"/>
    <sheet name="BAF" sheetId="13" r:id="rId13"/>
    <sheet name="Equity Saving" sheetId="14" r:id="rId14"/>
    <sheet name="BenchMark Returns" sheetId="15" r:id="rId15"/>
    <sheet name="Consumption" sheetId="16" r:id="rId16"/>
    <sheet name="Financials" sheetId="17" r:id="rId17"/>
    <sheet name="Digital" sheetId="18" r:id="rId18"/>
    <sheet name="Healthcare" sheetId="19" r:id="rId19"/>
    <sheet name="Infrastructure" sheetId="20" r:id="rId20"/>
    <sheet name="Manufacturing" sheetId="21" r:id="rId21"/>
    <sheet name="PSU" sheetId="22" r:id="rId22"/>
    <sheet name="Energy" sheetId="23" r:id="rId23"/>
    <sheet name="Transportation &amp; Logistics" sheetId="24" r:id="rId24"/>
    <sheet name="Services" sheetId="25" r:id="rId25"/>
    <sheet name="Exports" sheetId="26" r:id="rId26"/>
    <sheet name="Smart Beta Strategy Fund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3" i="27" l="1"/>
  <c r="G73" i="27"/>
  <c r="F73" i="27"/>
  <c r="E7" i="25"/>
  <c r="D7" i="25"/>
  <c r="D9" i="24"/>
  <c r="C9" i="23"/>
  <c r="H31" i="17"/>
  <c r="I31" i="17"/>
  <c r="B27" i="14"/>
  <c r="B39" i="13"/>
  <c r="B20" i="18"/>
  <c r="B26" i="20"/>
  <c r="B21" i="21"/>
  <c r="B19" i="18"/>
  <c r="B31" i="16"/>
  <c r="B24" i="19"/>
  <c r="B34" i="17"/>
  <c r="B12" i="23"/>
  <c r="B8" i="22"/>
  <c r="D39" i="1"/>
  <c r="I38" i="3"/>
  <c r="I36" i="2"/>
  <c r="I18" i="21"/>
  <c r="I40" i="6"/>
  <c r="H7" i="26"/>
  <c r="G7" i="26"/>
  <c r="F7" i="26"/>
  <c r="E7" i="26"/>
  <c r="D7" i="26"/>
  <c r="C7" i="26"/>
  <c r="I5" i="26"/>
  <c r="H5" i="26"/>
  <c r="G5" i="26"/>
  <c r="F5" i="26"/>
  <c r="E5" i="26"/>
  <c r="D5" i="26"/>
  <c r="C5" i="26"/>
  <c r="A1" i="26"/>
  <c r="H9" i="25"/>
  <c r="G9" i="25"/>
  <c r="F9" i="25"/>
  <c r="E9" i="25"/>
  <c r="D9" i="25"/>
  <c r="C9" i="25"/>
  <c r="I7" i="25"/>
  <c r="H7" i="25"/>
  <c r="G7" i="25"/>
  <c r="F7" i="25"/>
  <c r="C7" i="25"/>
  <c r="A1" i="25"/>
  <c r="H11" i="24"/>
  <c r="G11" i="24"/>
  <c r="F11" i="24"/>
  <c r="E11" i="24"/>
  <c r="D11" i="24"/>
  <c r="C11" i="24"/>
  <c r="A1" i="24"/>
  <c r="H12" i="23"/>
  <c r="G12" i="23"/>
  <c r="F12" i="23"/>
  <c r="E12" i="23"/>
  <c r="D12" i="23"/>
  <c r="C12" i="23"/>
  <c r="H11" i="23"/>
  <c r="G11" i="23"/>
  <c r="F11" i="23"/>
  <c r="E11" i="23"/>
  <c r="D11" i="23"/>
  <c r="C11" i="23"/>
  <c r="I9" i="23"/>
  <c r="H9" i="23"/>
  <c r="G9" i="23"/>
  <c r="F9" i="23"/>
  <c r="E9" i="23"/>
  <c r="D9" i="23"/>
  <c r="A1" i="23"/>
  <c r="H10" i="22"/>
  <c r="G10" i="22"/>
  <c r="F10" i="22"/>
  <c r="E10" i="22"/>
  <c r="D10" i="22"/>
  <c r="C10" i="22"/>
  <c r="I8" i="22"/>
  <c r="H8" i="22"/>
  <c r="G8" i="22"/>
  <c r="F8" i="22"/>
  <c r="E8" i="22"/>
  <c r="D8" i="22"/>
  <c r="C8" i="22"/>
  <c r="A1" i="22"/>
  <c r="H21" i="21"/>
  <c r="G21" i="21"/>
  <c r="F21" i="21"/>
  <c r="E21" i="21"/>
  <c r="D21" i="21"/>
  <c r="C21" i="21"/>
  <c r="H20" i="21"/>
  <c r="G20" i="21"/>
  <c r="F20" i="21"/>
  <c r="E20" i="21"/>
  <c r="D20" i="21"/>
  <c r="C20" i="21"/>
  <c r="H18" i="21"/>
  <c r="G18" i="21"/>
  <c r="F18" i="21"/>
  <c r="E18" i="21"/>
  <c r="D18" i="21"/>
  <c r="C18" i="21"/>
  <c r="A1" i="21"/>
  <c r="H26" i="20"/>
  <c r="G26" i="20"/>
  <c r="F26" i="20"/>
  <c r="E26" i="20"/>
  <c r="D26" i="20"/>
  <c r="C26" i="20"/>
  <c r="H25" i="20"/>
  <c r="G25" i="20"/>
  <c r="F25" i="20"/>
  <c r="E25" i="20"/>
  <c r="D25" i="20"/>
  <c r="C25" i="20"/>
  <c r="I23" i="20"/>
  <c r="H23" i="20"/>
  <c r="G23" i="20"/>
  <c r="F23" i="20"/>
  <c r="E23" i="20"/>
  <c r="D23" i="20"/>
  <c r="C23" i="20"/>
  <c r="A1" i="20"/>
  <c r="H24" i="19"/>
  <c r="G24" i="19"/>
  <c r="F24" i="19"/>
  <c r="E24" i="19"/>
  <c r="D24" i="19"/>
  <c r="C24" i="19"/>
  <c r="H23" i="19"/>
  <c r="G23" i="19"/>
  <c r="F23" i="19"/>
  <c r="E23" i="19"/>
  <c r="D23" i="19"/>
  <c r="C23" i="19"/>
  <c r="I21" i="19"/>
  <c r="H21" i="19"/>
  <c r="G21" i="19"/>
  <c r="F21" i="19"/>
  <c r="E21" i="19"/>
  <c r="D21" i="19"/>
  <c r="C21" i="19"/>
  <c r="A1" i="19"/>
  <c r="H20" i="18"/>
  <c r="G20" i="18"/>
  <c r="F20" i="18"/>
  <c r="E20" i="18"/>
  <c r="D20" i="18"/>
  <c r="C20" i="18"/>
  <c r="H19" i="18"/>
  <c r="G19" i="18"/>
  <c r="F19" i="18"/>
  <c r="E19" i="18"/>
  <c r="D19" i="18"/>
  <c r="C19" i="18"/>
  <c r="C18" i="18"/>
  <c r="I16" i="18"/>
  <c r="H16" i="18"/>
  <c r="G16" i="18"/>
  <c r="F16" i="18"/>
  <c r="E16" i="18"/>
  <c r="D16" i="18"/>
  <c r="C16" i="18"/>
  <c r="A1" i="18"/>
  <c r="H34" i="17"/>
  <c r="G34" i="17"/>
  <c r="F34" i="17"/>
  <c r="E34" i="17"/>
  <c r="D34" i="17"/>
  <c r="C34" i="17"/>
  <c r="H33" i="17"/>
  <c r="H18" i="18" s="1"/>
  <c r="G33" i="17"/>
  <c r="G18" i="18" s="1"/>
  <c r="F33" i="17"/>
  <c r="F18" i="18" s="1"/>
  <c r="E33" i="17"/>
  <c r="E18" i="18" s="1"/>
  <c r="D33" i="17"/>
  <c r="D18" i="18" s="1"/>
  <c r="C33" i="17"/>
  <c r="G31" i="17"/>
  <c r="F31" i="17"/>
  <c r="E31" i="17"/>
  <c r="D31" i="17"/>
  <c r="C31" i="17"/>
  <c r="A1" i="17"/>
  <c r="H31" i="16"/>
  <c r="G31" i="16"/>
  <c r="F31" i="16"/>
  <c r="E31" i="16"/>
  <c r="D31" i="16"/>
  <c r="C31" i="16"/>
  <c r="H30" i="16"/>
  <c r="G30" i="16"/>
  <c r="F30" i="16"/>
  <c r="E30" i="16"/>
  <c r="D30" i="16"/>
  <c r="C30" i="16"/>
  <c r="I28" i="16"/>
  <c r="H28" i="16"/>
  <c r="G28" i="16"/>
  <c r="F28" i="16"/>
  <c r="E28" i="16"/>
  <c r="D28" i="16"/>
  <c r="C28" i="16"/>
  <c r="A1" i="16"/>
  <c r="I27" i="14"/>
  <c r="H27" i="14"/>
  <c r="G27" i="14"/>
  <c r="F27" i="14"/>
  <c r="E27" i="14"/>
  <c r="D27" i="14"/>
  <c r="C27" i="14"/>
  <c r="A1" i="14"/>
  <c r="I39" i="13"/>
  <c r="H39" i="13"/>
  <c r="G39" i="13"/>
  <c r="F39" i="13"/>
  <c r="E39" i="13"/>
  <c r="D39" i="13"/>
  <c r="C39" i="13"/>
  <c r="A1" i="13"/>
  <c r="I41" i="12"/>
  <c r="H41" i="12"/>
  <c r="G41" i="12"/>
  <c r="F41" i="12"/>
  <c r="E41" i="12"/>
  <c r="D41" i="12"/>
  <c r="C41" i="12"/>
  <c r="A1" i="12"/>
  <c r="I24" i="11"/>
  <c r="H24" i="11"/>
  <c r="G24" i="11"/>
  <c r="F24" i="11"/>
  <c r="E24" i="11"/>
  <c r="D24" i="11"/>
  <c r="C24" i="11"/>
  <c r="A1" i="11"/>
  <c r="I35" i="10"/>
  <c r="H35" i="10"/>
  <c r="G35" i="10"/>
  <c r="F35" i="10"/>
  <c r="E35" i="10"/>
  <c r="D35" i="10"/>
  <c r="C35" i="10"/>
  <c r="A1" i="10"/>
  <c r="I36" i="9"/>
  <c r="H36" i="9"/>
  <c r="G36" i="9"/>
  <c r="F36" i="9"/>
  <c r="E36" i="9"/>
  <c r="D36" i="9"/>
  <c r="C36" i="9"/>
  <c r="A1" i="9"/>
  <c r="I31" i="8"/>
  <c r="H31" i="8"/>
  <c r="G31" i="8"/>
  <c r="F31" i="8"/>
  <c r="E31" i="8"/>
  <c r="D31" i="8"/>
  <c r="C31" i="8"/>
  <c r="A1" i="8"/>
  <c r="I47" i="7"/>
  <c r="H47" i="7"/>
  <c r="G47" i="7"/>
  <c r="F47" i="7"/>
  <c r="E47" i="7"/>
  <c r="D47" i="7"/>
  <c r="C47" i="7"/>
  <c r="A1" i="7"/>
  <c r="H40" i="6"/>
  <c r="G40" i="6"/>
  <c r="F40" i="6"/>
  <c r="E40" i="6"/>
  <c r="D40" i="6"/>
  <c r="C40" i="6"/>
  <c r="A1" i="6"/>
  <c r="I14" i="5"/>
  <c r="H14" i="5"/>
  <c r="G14" i="5"/>
  <c r="F14" i="5"/>
  <c r="E14" i="5"/>
  <c r="D14" i="5"/>
  <c r="C14" i="5"/>
  <c r="A1" i="5"/>
  <c r="I7" i="4"/>
  <c r="H7" i="4"/>
  <c r="G7" i="4"/>
  <c r="F7" i="4"/>
  <c r="E7" i="4"/>
  <c r="D7" i="4"/>
  <c r="C7" i="4"/>
  <c r="A1" i="4"/>
  <c r="H38" i="3"/>
  <c r="G38" i="3"/>
  <c r="F38" i="3"/>
  <c r="E38" i="3"/>
  <c r="D38" i="3"/>
  <c r="C38" i="3"/>
  <c r="A1" i="3"/>
  <c r="H36" i="2"/>
  <c r="G36" i="2"/>
  <c r="F36" i="2"/>
  <c r="E36" i="2"/>
  <c r="D36" i="2"/>
  <c r="C36" i="2"/>
  <c r="A1" i="2"/>
  <c r="H73" i="27"/>
  <c r="E73" i="27"/>
  <c r="D73" i="27"/>
  <c r="C73" i="27"/>
  <c r="A1" i="27"/>
  <c r="B73" i="27" l="1"/>
  <c r="B41" i="12"/>
  <c r="B7" i="26"/>
  <c r="B33" i="17"/>
  <c r="B18" i="18" s="1"/>
  <c r="B9" i="25"/>
  <c r="B23" i="19"/>
  <c r="B11" i="24"/>
  <c r="B25" i="20"/>
  <c r="B11" i="23"/>
  <c r="B20" i="21"/>
  <c r="B10" i="22"/>
  <c r="B30" i="16"/>
  <c r="B28" i="16"/>
  <c r="B31" i="17"/>
  <c r="B16" i="18"/>
  <c r="B21" i="19"/>
  <c r="B23" i="20"/>
  <c r="B18" i="21"/>
  <c r="B9" i="23"/>
  <c r="B9" i="24"/>
  <c r="B7" i="25"/>
  <c r="B5" i="26"/>
  <c r="B24" i="11"/>
  <c r="B35" i="10"/>
  <c r="B36" i="9"/>
  <c r="B31" i="8"/>
  <c r="B40" i="6"/>
  <c r="B14" i="5"/>
  <c r="B7" i="4"/>
  <c r="B38" i="3"/>
  <c r="B47" i="7"/>
  <c r="B36" i="2"/>
  <c r="C39" i="1"/>
  <c r="B39" i="1"/>
  <c r="G39" i="1"/>
  <c r="I39" i="1"/>
  <c r="H39" i="1"/>
  <c r="F39" i="1"/>
  <c r="E39" i="1"/>
  <c r="C9" i="24" l="1"/>
  <c r="E9" i="24" l="1"/>
  <c r="F9" i="24" l="1"/>
  <c r="G9" i="24" l="1"/>
  <c r="H9" i="24" l="1"/>
  <c r="I9" i="24"/>
</calcChain>
</file>

<file path=xl/sharedStrings.xml><?xml version="1.0" encoding="utf-8"?>
<sst xmlns="http://schemas.openxmlformats.org/spreadsheetml/2006/main" count="1784" uniqueCount="679">
  <si>
    <t>Scheme Name</t>
  </si>
  <si>
    <t>1 Week</t>
  </si>
  <si>
    <t>1 Month</t>
  </si>
  <si>
    <t>3 Months</t>
  </si>
  <si>
    <t>6 Months</t>
  </si>
  <si>
    <t>1 Year</t>
  </si>
  <si>
    <t>3 Years</t>
  </si>
  <si>
    <t>5 Years</t>
  </si>
  <si>
    <t>Since Inception</t>
  </si>
  <si>
    <t>AUM ( June 26)</t>
  </si>
  <si>
    <t>Direct</t>
  </si>
  <si>
    <t>Regular</t>
  </si>
  <si>
    <t>Abakkus Small Cap Fund - Dir - Growth</t>
  </si>
  <si>
    <t>--</t>
  </si>
  <si>
    <t>Aditya Birla Sun Life Small Cap Fund - Dir - Growth</t>
  </si>
  <si>
    <t>Axis Small Cap Fund - Dir - Growth</t>
  </si>
  <si>
    <t>Bajaj Finserv Small Cap Fund - Dir - Growth</t>
  </si>
  <si>
    <t>Bandhan Small Cap Fund - Dir - Growth</t>
  </si>
  <si>
    <t>Bank of India Small Cap Fund - Dir - Growth</t>
  </si>
  <si>
    <t>Baroda BNP Paribas Small Cap Fund - Dir - Growth</t>
  </si>
  <si>
    <t>Canara Robeco Small Cap Fund - Dir - Growth</t>
  </si>
  <si>
    <t>DSP Small Cap Fund - Dir - Growth</t>
  </si>
  <si>
    <t>Edelweiss Small Cap Fund - Dir - Growth</t>
  </si>
  <si>
    <t>Franklin India Small Cap Fund - Dir - Growth</t>
  </si>
  <si>
    <t>Groww Small Cap Fund - Dir - Growth</t>
  </si>
  <si>
    <t>HDFC Small Cap Fund - Dir - Growth</t>
  </si>
  <si>
    <t>Helios Small Cap Fund - Dir - Growth</t>
  </si>
  <si>
    <t>HSBC Small Cap Fund - Dir - Growth</t>
  </si>
  <si>
    <t>ICICI Prudential Smallcap Fund - Dir - Growth</t>
  </si>
  <si>
    <t>Invesco India Smallcap Fund - Dir - Growth</t>
  </si>
  <si>
    <t>ITI Small Cap Fund - Dir - Growth</t>
  </si>
  <si>
    <t>JM Small Cap Fund - Dir - Growth</t>
  </si>
  <si>
    <t>Kotak Small Cap Fund - Dir - Growth</t>
  </si>
  <si>
    <t>LIC MF Small Cap Fund - Dir - Growth</t>
  </si>
  <si>
    <t>Mahindra Manulife Small Cap Fund - Dir - Growth</t>
  </si>
  <si>
    <t>Mirae Asset Small Cap Fund - Dir - Growth</t>
  </si>
  <si>
    <t>Motilal Oswal Small Cap Fund - Dir - Growth</t>
  </si>
  <si>
    <t>Nippon India Small Cap Fund - Dir - Growth</t>
  </si>
  <si>
    <t>PGIM India Small Cap Fund - Dir - Growth</t>
  </si>
  <si>
    <t>Quant Small Cap Fund - Dir - Growth</t>
  </si>
  <si>
    <t>Quantum Small Cap Fund - Dir - Growth</t>
  </si>
  <si>
    <t>Samco Small Cap Fund - Dir - Growth</t>
  </si>
  <si>
    <t>SBI Small Cap Fund - Dir - Growth</t>
  </si>
  <si>
    <t>Sundaram Small Cap Fund - Dir - Growth</t>
  </si>
  <si>
    <t>Tata Small Cap Fund - Dir - Growth</t>
  </si>
  <si>
    <t>The Wealth Company Small Cap Fund - Dir - Growth</t>
  </si>
  <si>
    <t>TRUSTMF Small Cap Fund - Dir - Growth</t>
  </si>
  <si>
    <t>Union Small Cap Fund - Dir - Growth</t>
  </si>
  <si>
    <t>UTI Small Cap Fund - Dir - Growth</t>
  </si>
  <si>
    <t>Median</t>
  </si>
  <si>
    <t>Index</t>
  </si>
  <si>
    <t>Nifty Smallcap 250</t>
  </si>
  <si>
    <t>Nifty Smallcap 250 TRI</t>
  </si>
  <si>
    <t>Aditya Birla Sun Life Mid Cap Fund - Plan A - Dir - Growth</t>
  </si>
  <si>
    <t>Axis Midcap Fund - Dir - Growth</t>
  </si>
  <si>
    <t>Bandhan Midcap Fund - Dir - Growth</t>
  </si>
  <si>
    <t>Bank of India Mid Cap Fund - Dir - Growth</t>
  </si>
  <si>
    <t>Baroda BNP Paribas Midcap Fund - Dir - Growth</t>
  </si>
  <si>
    <t>Canara Robeco Mid Cap Fund - Dir - Growth</t>
  </si>
  <si>
    <t>DSP Midcap Fund - Dir - Growth</t>
  </si>
  <si>
    <t>Edelweiss Mid Cap Fund - Dir - Growth</t>
  </si>
  <si>
    <t>Franklin India Mid Cap Fund - Dir - Growth</t>
  </si>
  <si>
    <t>HDFC Mid Cap Fund - Dir - Growth</t>
  </si>
  <si>
    <t>Helios Mid Cap Fund - Dir - Growth</t>
  </si>
  <si>
    <t>HSBC Midcap Fund - Dir - Growth</t>
  </si>
  <si>
    <t>ICICI Prudential MidCap Fund - Dir - Growth</t>
  </si>
  <si>
    <t>Invesco India Midcap Fund - Dir - Growth</t>
  </si>
  <si>
    <t>ITI Mid Cap Fund - Dir - Growth</t>
  </si>
  <si>
    <t>JM Midcap Fund - Dir - Growth</t>
  </si>
  <si>
    <t>Kotak Midcap Fund - Dir - Growth</t>
  </si>
  <si>
    <t>LIC MF Mid cap Fund - Dir - Growth</t>
  </si>
  <si>
    <t>Mahindra Manulife Mid Cap Fund - Dir - Growth</t>
  </si>
  <si>
    <t>Mirae Asset Midcap Fund - Dir - Growth</t>
  </si>
  <si>
    <t>Motilal Oswal Midcap Fund - Dir - Growth</t>
  </si>
  <si>
    <t>Nippon India Growth Mid Cap Fund - Dir - Growth</t>
  </si>
  <si>
    <t>PGIM India Midcap Fund - Dir - Growth</t>
  </si>
  <si>
    <t>Quant Mid Cap Fund - Dir - Growth</t>
  </si>
  <si>
    <t>Samco Mid Cap Fund - Dir - Growth</t>
  </si>
  <si>
    <t>SBI Midcap Fund - Dir - Growth</t>
  </si>
  <si>
    <t>Sundaram Mid Cap Fund - Dir - Growth</t>
  </si>
  <si>
    <t>Tata Mid Cap Fund - Dir - Growth</t>
  </si>
  <si>
    <t>Taurus Mid Cap Fund - Dir - Growth</t>
  </si>
  <si>
    <t>TRUSTMF Mid Cap Fund - Dir - Growth</t>
  </si>
  <si>
    <t>Union Midcap Fund - Dir - Growth</t>
  </si>
  <si>
    <t>UTI Mid Cap Fund - Dir - Growth</t>
  </si>
  <si>
    <t>WhiteOak Capital Mid Cap Fund - Dir - Growth</t>
  </si>
  <si>
    <t>Nifty Midcap 150</t>
  </si>
  <si>
    <t>Nifty Midcap 150 TRI</t>
  </si>
  <si>
    <t>Aditya Birla Sun Life Large Cap Fund - Dir - Growth</t>
  </si>
  <si>
    <t>Axis Large Cap Fund - Dir - Growth</t>
  </si>
  <si>
    <t>Bajaj Finserv Large Cap Fund - Dir - Growth</t>
  </si>
  <si>
    <t>Bandhan Large Cap Fund - Dir - Growth</t>
  </si>
  <si>
    <t>Bank of India Large Cap Fund - Dir - Growth</t>
  </si>
  <si>
    <t>Baroda BNP Paribas Large Cap Fund - Dir - Growth</t>
  </si>
  <si>
    <t>Canara Robeco Large Cap Fund - Dir - Growth</t>
  </si>
  <si>
    <t>DSP Large Cap Fund - Dir - Growth</t>
  </si>
  <si>
    <t>Edelweiss Large Cap Fund - Dir- Growth</t>
  </si>
  <si>
    <t>Franklin India Large Cap Fund - Dir - Growth</t>
  </si>
  <si>
    <t>Groww Large Cap Fund - Dir- Growth</t>
  </si>
  <si>
    <t>HDFC Large Cap Fund - Dir - Growth</t>
  </si>
  <si>
    <t>HSBC Large Cap Fund - Dir - Growth</t>
  </si>
  <si>
    <t>ICICI Prudential Large Cap Fund - Dir - Growth</t>
  </si>
  <si>
    <t>Invesco India Largecap Fund - Dir - Growth</t>
  </si>
  <si>
    <t>ITI Large Cap Fund - Dir - Growth</t>
  </si>
  <si>
    <t>JioBlackRock Large Cap Fund - Dir - Growth</t>
  </si>
  <si>
    <t>JM Large Cap Fund - Dir - Growth</t>
  </si>
  <si>
    <t>Kotak Large Cap Fund - Dir - Growth</t>
  </si>
  <si>
    <t>LIC MF Large Cap Fund - Dir - Growth</t>
  </si>
  <si>
    <t>Mahindra Manulife Large Cap Fund - Dir - Growth</t>
  </si>
  <si>
    <t>Mirae Asset Large Cap Fund - Dir - Growth</t>
  </si>
  <si>
    <t>Motilal Oswal Large Cap Fund - Dir - Growth</t>
  </si>
  <si>
    <t>Nippon India Large Cap Fund - Dir - Growth</t>
  </si>
  <si>
    <t>Parag Parikh Large Cap Fund - Dir - Growth</t>
  </si>
  <si>
    <t>PGIM India Large Cap Fund - Dir - Growth</t>
  </si>
  <si>
    <t>Quant Large Cap Fund - Dir - Growth</t>
  </si>
  <si>
    <t>Samco Large Cap Fund - Dir - Growth</t>
  </si>
  <si>
    <t>SBI Large Cap Fund - Dir - Growth</t>
  </si>
  <si>
    <t>Sundaram Large Cap Fund - Dir - Growth</t>
  </si>
  <si>
    <t>Tata Large Cap Fund - Dir - Growth</t>
  </si>
  <si>
    <t>Taurus Large Cap Fund - Dir - Growth</t>
  </si>
  <si>
    <t>Union Largecap Fund - Dir - Growth</t>
  </si>
  <si>
    <t>UTI Large Cap Fund - Dir - Growth</t>
  </si>
  <si>
    <t>WhiteOak Capital Large Cap Fund - Dir - Growth</t>
  </si>
  <si>
    <t>Nifty 100</t>
  </si>
  <si>
    <t>Nifty 50</t>
  </si>
  <si>
    <t>Invesco India Contra Fund - Dir - Growth</t>
  </si>
  <si>
    <t>Kotak Contra Fund - Dir - Growth</t>
  </si>
  <si>
    <t>Motilal Oswal Contra Fund - Dir - Growth</t>
  </si>
  <si>
    <t>SBI Contra Fund - Dir - Growth</t>
  </si>
  <si>
    <t>Nifty 500 TRI</t>
  </si>
  <si>
    <t>Aditya Birla Sun Life Dividend Yield Fund - Dir - Growth</t>
  </si>
  <si>
    <t>Baroda BNP Paribas Dividend Yield Fund (BBNPPDYF) - Dir - Growth</t>
  </si>
  <si>
    <t>Franklin India Dividend Yield Fund - Dir - Growth</t>
  </si>
  <si>
    <t>HDFC Dividend Yield Fund - Dir - Growth</t>
  </si>
  <si>
    <t>ICICI Prudential Dividend Yield Equity Fund - Dir - Growth</t>
  </si>
  <si>
    <t>Kotak Dividend Yield Fund - Dir - Growth</t>
  </si>
  <si>
    <t>LIC MF Dividend Yield Fund - Dir - Growth</t>
  </si>
  <si>
    <t>SBI Dividend Yield Fund - Dir - Growth</t>
  </si>
  <si>
    <t>Sundaram Dividend Yield Fund - Dir - Growth</t>
  </si>
  <si>
    <t>Tata Dividend Yield Fund - Dir - Growth</t>
  </si>
  <si>
    <t>UTI Dividend Yield Fund - Dir - Growth</t>
  </si>
  <si>
    <t>Nifty 500</t>
  </si>
  <si>
    <t>Aditya Birla Sun Life ELSS Tax Saver Fund - Dir - Growth</t>
  </si>
  <si>
    <t>Axis ELSS Tax Saver Fund - Dir - Growth</t>
  </si>
  <si>
    <t>Bajaj Finserv ELSS Tax Saver Fund - Dir - Growth</t>
  </si>
  <si>
    <t>Bandhan ELSS Tax saver Fund - Dir - Growth</t>
  </si>
  <si>
    <t>Bank of India ELSS Tax Saver - Dir - Growth</t>
  </si>
  <si>
    <t>Baroda BNP Paribas ELSS Tax Saver Fund - Dir - Growth</t>
  </si>
  <si>
    <t>Canara Robeco ELSS Tax Saver - Dir - Growth</t>
  </si>
  <si>
    <t>DSP ELSS Tax Saver Fund - Dir - Growth</t>
  </si>
  <si>
    <t>Edelweiss ELSS Tax saver Fund - Dir- Growth</t>
  </si>
  <si>
    <t>Franklin India ELSS Tax Saver Fund - Dir - Growth</t>
  </si>
  <si>
    <t>Groww ELSS Tax Savings Fund - Dir - Growth</t>
  </si>
  <si>
    <t>HDFC ELSS Taxsaver Fund - Dir - Growth</t>
  </si>
  <si>
    <t>HSBC ELSS Tax saver Fund - Dir - Growth</t>
  </si>
  <si>
    <t>ICICI Prudential ELSS Tax Saver Fund - Dir - Growth</t>
  </si>
  <si>
    <t>Invesco India ELSS Tax Saver Fund - Dir - Growth</t>
  </si>
  <si>
    <t>ITI ELSS Tax Saver Fund - Dir - Growth</t>
  </si>
  <si>
    <t>JM ELSS Tax Saver Fund - Dir - Growth</t>
  </si>
  <si>
    <t>Kotak ELSS Tax Saver Fund - Dir - Growth</t>
  </si>
  <si>
    <t>LIC MF ELSS Tax Saver - Dir - Growth</t>
  </si>
  <si>
    <t>Mahindra Manulife ELSS Tax Saver Fund - Dir - Growth</t>
  </si>
  <si>
    <t>Mirae Asset ELSS Tax Saver Fund - Dir - Growth</t>
  </si>
  <si>
    <t>Motilal Oswal ELSS Tax Saver Fund - Dir - Growth</t>
  </si>
  <si>
    <t>Nippon India ELSS Tax Saver Fund - Dir - Growth</t>
  </si>
  <si>
    <t>NJ ELSS Tax Saver Scheme - Dir - Growth</t>
  </si>
  <si>
    <t>Parag Parikh ELSS Tax Saver Fund - Dir - Growth</t>
  </si>
  <si>
    <t>PGIM India ELSS Tax Saver Fund - Dir - Growth</t>
  </si>
  <si>
    <t>Quant ELSS Tax Saver Fund - Dir - Growth</t>
  </si>
  <si>
    <t>Quantum ELSS Tax Saver Fund - Dir - Growth</t>
  </si>
  <si>
    <t>Samco ELSS Tax Saver Fund - Dir - Growth</t>
  </si>
  <si>
    <t>SBI ELSS Tax Saver Fund - Dir - Growth</t>
  </si>
  <si>
    <t>Shriram ELSS Tax Saver Fund - Dir - Growth</t>
  </si>
  <si>
    <t>Sundaram ELSS Tax Saver Fund - Dir</t>
  </si>
  <si>
    <t>Tata ELSS Fund - Dir - Growth</t>
  </si>
  <si>
    <t>Taurus ELSS Tax Saver Fund - Dir - Growth</t>
  </si>
  <si>
    <t>Union ELSS Tax Saver Fund - Dir - Growth</t>
  </si>
  <si>
    <t>UTI ELSS Tax Saver Fund - Dir - Growth</t>
  </si>
  <si>
    <t>WhiteOak Capital ELSS Tax Saver Fund - Dir - Growth</t>
  </si>
  <si>
    <t>360 ONE Flexicap Fund - Dir - Growth</t>
  </si>
  <si>
    <t>Abakkus Flexi Cap Fund - Dir - Growth</t>
  </si>
  <si>
    <t>Aditya Birla Sun Life Flexi Cap Fund - Dir - Growth</t>
  </si>
  <si>
    <t>Axis Flexi Cap Fund - Dir - Growth</t>
  </si>
  <si>
    <t>Bajaj Finserv Flexi Cap Fund - Dir - Growth</t>
  </si>
  <si>
    <t>Bandhan Flexi Cap Fund - Dir - Growth</t>
  </si>
  <si>
    <t>Bank of India Flexi Cap Fund - Dir - Growth</t>
  </si>
  <si>
    <t>Baroda BNP Paribas Flexi Cap Fund - Dir - Growth</t>
  </si>
  <si>
    <t>Canara Robeco Flexi Cap Fund - Dir - Growth</t>
  </si>
  <si>
    <t>Capitalmind Flexi Cap Fund - Dir - Growth</t>
  </si>
  <si>
    <t>DSP Flexi Cap Fund - Dir - Growth</t>
  </si>
  <si>
    <t>Edelweiss Flexi Cap Fund - Dir - Growth</t>
  </si>
  <si>
    <t>Franklin India Flexi Cap Fund - Dir - Growth</t>
  </si>
  <si>
    <t>HDFC Flexi Cap Fund - Dir - Growth</t>
  </si>
  <si>
    <t>Helios Flexi Cap Fund - Dir - Growth</t>
  </si>
  <si>
    <t>HSBC Flexi Cap Fund - Dir - Growth</t>
  </si>
  <si>
    <t>ICICI Prudential Flexicap Fund - Dir - Growth</t>
  </si>
  <si>
    <t>Invesco India Flexi Cap Fund - Dir - Growth</t>
  </si>
  <si>
    <t>ITI Flexi Cap Fund - Dir - Growth</t>
  </si>
  <si>
    <t>JioBlackRock Flexi Cap Fund - Dir - Growth</t>
  </si>
  <si>
    <t>JM Flexicap Fund - Dir - Growth</t>
  </si>
  <si>
    <t>Kotak Flexicap Fund - Dir - Growth</t>
  </si>
  <si>
    <t>LIC MF Flexi Cap Fund - Dir - Growth</t>
  </si>
  <si>
    <t>Mahindra Manulife Flexi Cap Fund - Dir - Growth</t>
  </si>
  <si>
    <t>Mirae Asset Flexi Cap Fund - Dir - Growth</t>
  </si>
  <si>
    <t>Motilal Oswal Flexi Cap Fund - Dir - Growth</t>
  </si>
  <si>
    <t>Navi Flexi Cap Fund - Dir - Growth</t>
  </si>
  <si>
    <t>Nippon India Flexi Cap Fund - Dir - Growth</t>
  </si>
  <si>
    <t>NJ Flexi Cap Fund - Dir - Growth</t>
  </si>
  <si>
    <t>Parag Parikh Flexi Cap Fund - Dir - Growth</t>
  </si>
  <si>
    <t>PGIM India Flexi Cap Fund - Dir - Growth</t>
  </si>
  <si>
    <t>Quant Flexi Cap Fund - Dir - Growth</t>
  </si>
  <si>
    <t>Samco Flexi Cap Fund-Dir-Growth</t>
  </si>
  <si>
    <t>SBI Flexicap Fund - Dir - Growth</t>
  </si>
  <si>
    <t>Shriram Flexi Cap Fund - Dir - Growth</t>
  </si>
  <si>
    <t>Sundaram Flexicap Fund - Dir - Growth</t>
  </si>
  <si>
    <t>Tata Flexi Cap Fund - Dir - Growth</t>
  </si>
  <si>
    <t>Taurus Flexi Cap Fund - Dir - Growth</t>
  </si>
  <si>
    <t>The Wealth Company Flexi Cap Fund - Dir - Growth</t>
  </si>
  <si>
    <t>TRUSTMF Flexi Cap Fund - Dir - Growth</t>
  </si>
  <si>
    <t>Unifi Flexi Cap Fund - Dir - Growth</t>
  </si>
  <si>
    <t>Union Flexi Cap Fund - Dir - Growth</t>
  </si>
  <si>
    <t>UTI Flexi Cap Fund - Dir - Growth</t>
  </si>
  <si>
    <t>WhiteOak Capital Flexi Cap Fund - Dir - Growth</t>
  </si>
  <si>
    <t>360 ONE Focused Fund - Dir - Growth</t>
  </si>
  <si>
    <t>Aditya Birla Sun Life Focused Fund - Dir - Growth</t>
  </si>
  <si>
    <t>Axis Focused Fund - Dir - Growth</t>
  </si>
  <si>
    <t>Bandhan Focused Fund - Direct - Growth</t>
  </si>
  <si>
    <t>Baroda BNP Paribas Focused Fund - Dir - Growth</t>
  </si>
  <si>
    <t>Canara Robeco Focused Fund - Dir - Growth</t>
  </si>
  <si>
    <t>DSP Focused Fund - Dir - Growth</t>
  </si>
  <si>
    <t>Edelweiss Focused Fund - Dir - Growth</t>
  </si>
  <si>
    <t>Franklin India Focused Equity Fund - Dir - Growth</t>
  </si>
  <si>
    <t>HDFC Focused Fund - Dir - Growth</t>
  </si>
  <si>
    <t>HSBC Focused Fund - Dir - Growth</t>
  </si>
  <si>
    <t>ICICI Prudential Focused Equity Fund - Dir - Growth</t>
  </si>
  <si>
    <t>Invesco India Focused Fund - Dir - Growth</t>
  </si>
  <si>
    <t>ITI Focused Fund - Dir - Growth</t>
  </si>
  <si>
    <t>JM Focused Fund - Dir - Growth</t>
  </si>
  <si>
    <t>Kotak Focused Fund - Dir - Growth</t>
  </si>
  <si>
    <t>LIC MF Focused Fund - Dir - Growth</t>
  </si>
  <si>
    <t>Mahindra Manulife Focused Fund - Dir - Growth</t>
  </si>
  <si>
    <t>Mirae Asset Focused Fund - Dir - Growth</t>
  </si>
  <si>
    <t>Motilal Oswal Focused Fund - Dir - Growth</t>
  </si>
  <si>
    <t>Nippon India Focused Fund - Dir - Growth</t>
  </si>
  <si>
    <t>Old Bridge Focused Fund - Dir - Growth</t>
  </si>
  <si>
    <t>Quant Focused Fund - Dir - Growth</t>
  </si>
  <si>
    <t>SBI Focused Fund - Dir - Growth</t>
  </si>
  <si>
    <t>Sundaram Focused Fund - Dir - Growth</t>
  </si>
  <si>
    <t>Tata Focused Fund - Dir - Growth</t>
  </si>
  <si>
    <t>Union Focused Fund - Dir - Growth</t>
  </si>
  <si>
    <t>UTI Focused Fund - Dir - Growth</t>
  </si>
  <si>
    <t>Aditya Birla Sun Life Large &amp; Mid Cap Fund - Dir - Growth</t>
  </si>
  <si>
    <t>Axis Large &amp; Mid Cap Fund - Dir - Growth</t>
  </si>
  <si>
    <t>Bajaj Finserv Large and Mid Cap Fund - Dir - Growth</t>
  </si>
  <si>
    <t>Bandhan Large &amp; Mid Cap Fund - Dir - Growth</t>
  </si>
  <si>
    <t>Bank of India Large &amp; Mid Cap Fund - Dir - Growth</t>
  </si>
  <si>
    <t>Baroda BNP Paribas Large &amp; Mid Cap Fund - Dir - Growth</t>
  </si>
  <si>
    <t>Canara Robeco Large and Mid Cap Fund - Dir - Growth</t>
  </si>
  <si>
    <t>DSP Large &amp; Mid Cap Fund - Dir - Growth</t>
  </si>
  <si>
    <t>Edelweiss Large &amp; Mid Cap Fund - Dir - Growth</t>
  </si>
  <si>
    <t>Franklin India Large &amp; Mid Cap Fund - Dir - Growth</t>
  </si>
  <si>
    <t>HDFC Large and Mid Cap Fund - Dir - Growth</t>
  </si>
  <si>
    <t>Helios Large &amp; Mid Cap Fund - Dir - Growth</t>
  </si>
  <si>
    <t>HSBC Large &amp; Mid Cap Fund - Dir - Growth</t>
  </si>
  <si>
    <t>ICICI Prudential Large &amp; Mid Cap Fund - Dir - Growth</t>
  </si>
  <si>
    <t>Invesco India Large &amp; Mid Cap Fund - Dir - Growth</t>
  </si>
  <si>
    <t>ITI Large &amp; Mid Cap Fund - Dir - Growth</t>
  </si>
  <si>
    <t>JM Large and Mid Cap Fund - Dir - Growth</t>
  </si>
  <si>
    <t>Kotak Large &amp; Midcap Fund - Dir - Growth</t>
  </si>
  <si>
    <t>LIC MF Large &amp; Mid Cap Fund - Dir - Growth</t>
  </si>
  <si>
    <t>Mahindra Manulife Large &amp; Mid Cap Fund - Dir - Growth</t>
  </si>
  <si>
    <t>Mirae Asset Large &amp; Midcap Fund - Dir - Growth</t>
  </si>
  <si>
    <t>Motilal Oswal Large and Midcap Fund (MOFLM) - Dir - Growth</t>
  </si>
  <si>
    <t>Navi Large &amp; Midcap Fund - Dir - Growth</t>
  </si>
  <si>
    <t>Nippon India Vision Large &amp; Mid Cap Fund - Dir - Growth</t>
  </si>
  <si>
    <t>PGIM India Large and Midcap Fund - Dir - Growth</t>
  </si>
  <si>
    <t>Quant Large and Mid Cap Fund - Dir - Growth</t>
  </si>
  <si>
    <t>Samco Large and Mid Cap Fund - Dir - Growth</t>
  </si>
  <si>
    <t>SBI Large &amp; Midcap Fund - Dir - Growth</t>
  </si>
  <si>
    <t>Sundaram Large and Mid Cap Fund - Dir - Growth</t>
  </si>
  <si>
    <t>Tata Large &amp; Mid Cap Fund - Dir - Growth</t>
  </si>
  <si>
    <t>Union Large &amp; Midcap Fund - Dir - Growth</t>
  </si>
  <si>
    <t>UTI Large &amp; Mid Cap Fund - Dir - Growth</t>
  </si>
  <si>
    <t>WhiteOak Capital Large &amp; Mid Cap Fund - Dir - Growth</t>
  </si>
  <si>
    <t>NIFTY Large Midcap 250</t>
  </si>
  <si>
    <t>NIFTY Large Midcap 250 TRI</t>
  </si>
  <si>
    <t>Aditya Birla Sun Life Multi-Cap Fund - Dir - Growth</t>
  </si>
  <si>
    <t>Axis Multicap Fund - Dir - Growth</t>
  </si>
  <si>
    <t>Bajaj Finserv Multi Cap Fund - Dir - Growth</t>
  </si>
  <si>
    <t>Bandhan Multi Cap Fund - Dir - Growth</t>
  </si>
  <si>
    <t>Bank of India Multi Cap Fund - Dir - Growth</t>
  </si>
  <si>
    <t>Baroda BNP Paribas Multi Cap Fund - Dir - Growth</t>
  </si>
  <si>
    <t>Canara Robeco Multi Cap Fund - Direct - Growth</t>
  </si>
  <si>
    <t>DSP Multicap Fund - Dir - Growth</t>
  </si>
  <si>
    <t>Edelweiss Multi Cap Fund - Dir - Growth</t>
  </si>
  <si>
    <t>Franklin India Multi Cap Fund - Dir - Growth</t>
  </si>
  <si>
    <t>Groww Multicap Fund - Dir - Growth</t>
  </si>
  <si>
    <t>HDFC Multi Cap Fund - Dir - Growth</t>
  </si>
  <si>
    <t>HSBC Multi Cap Fund - Dir - Growth</t>
  </si>
  <si>
    <t>ICICI Prudential Multicap Fund - Dir - Growth</t>
  </si>
  <si>
    <t>Invesco India Multicap Fund - Dir - Growth</t>
  </si>
  <si>
    <t>ITI Multi Cap Fund - Dir - Growth</t>
  </si>
  <si>
    <t>Kotak Multicap Fund - Dir - Growth</t>
  </si>
  <si>
    <t>LIC MF Multi Cap Fund - Dir - Growth</t>
  </si>
  <si>
    <t>Mahindra Manulife Multi Cap Fund - Dir - Growth</t>
  </si>
  <si>
    <t>Mirae Asset Multicap Fund - Dir - Growth</t>
  </si>
  <si>
    <t>Motilal Oswal Multi Cap Fund - Dir - Growth</t>
  </si>
  <si>
    <t>Nippon India Multi Cap Fund - Dir - Growth</t>
  </si>
  <si>
    <t>PGIM India Multi Cap Fund - Dir - Growth</t>
  </si>
  <si>
    <t>Quant Multi Cap Fund - Dir - Growth</t>
  </si>
  <si>
    <t>Samco Multi Cap Fund - Dir - Growth</t>
  </si>
  <si>
    <t>SBI Multicap Fund - Dir - Growth</t>
  </si>
  <si>
    <t>Sundaram Multi cap Fund - Dir - Growth</t>
  </si>
  <si>
    <t>Tata Multicap Fund - Dir - Growth</t>
  </si>
  <si>
    <t>TRUSTMF Multi Cap Fund - Dir - Growth</t>
  </si>
  <si>
    <t>Union Multicap Fund - Dir - Growth</t>
  </si>
  <si>
    <t>UTI Multi Cap Fund - Dir - Growth</t>
  </si>
  <si>
    <t>WhiteOak Capital Multi Cap Fund - Dir - Growth</t>
  </si>
  <si>
    <t>Aditya Birla Sun Life Value Fund - Dir - Growth</t>
  </si>
  <si>
    <t>Axis Value Fund - Dir - Growth</t>
  </si>
  <si>
    <t>Bandhan Value Fund - Dir - Growth</t>
  </si>
  <si>
    <t>Baroda BNP Paribas Value Fund - Dir - Growth</t>
  </si>
  <si>
    <t>Canara Robeco Value Fund - Dir - Growth</t>
  </si>
  <si>
    <t>DSP Value Fund - Dir - Growth</t>
  </si>
  <si>
    <t>Groww Value Fund - Dir - Growth</t>
  </si>
  <si>
    <t>HDFC Value Fund - Dir - Growth</t>
  </si>
  <si>
    <t>HSBC Value Fund - Dir - Growth</t>
  </si>
  <si>
    <t>ICICI Prudential Value Fund - Dir - Growth</t>
  </si>
  <si>
    <t>ITI Value Fund - Dir - Growth</t>
  </si>
  <si>
    <t>JM Value Fund - Dir - Growth</t>
  </si>
  <si>
    <t>LIC MF Value Fund - Dir - Growth</t>
  </si>
  <si>
    <t>Mahindra Manulife Value Fund - Dir - Growth</t>
  </si>
  <si>
    <t>Nippon India Value Fund - Dir - Growth</t>
  </si>
  <si>
    <t>Quant Value Fund - Dir - Growth</t>
  </si>
  <si>
    <t>Quantum Value Fund -Dir- Growth</t>
  </si>
  <si>
    <t>Tata Value Fund - Dir - Growth</t>
  </si>
  <si>
    <t>Templeton India Value Fund - Dir - Growth</t>
  </si>
  <si>
    <t>Union Value Fund - Dir - Growth</t>
  </si>
  <si>
    <t>UTI Value Fund - Dir - Growth</t>
  </si>
  <si>
    <t>Aditya Birla Sun Life Arbitrage Fund - Dir - Growth</t>
  </si>
  <si>
    <t>Axis Arbitrage Fund - Dir - Growth</t>
  </si>
  <si>
    <t>Bajaj Finserv Arbitrage Fund - Dir - Growth</t>
  </si>
  <si>
    <t>Bandhan Arbitrage Fund - Dir - Growth</t>
  </si>
  <si>
    <t>Bank of India Arbitrage Fund - Dir - Growth</t>
  </si>
  <si>
    <t>Baroda BNP Paribas Arbitrage Fund - Dir - Growth</t>
  </si>
  <si>
    <t>Capitalmind Arbitrage Fund - Dir - Growth</t>
  </si>
  <si>
    <t>DSP Arbitrage Fund - Dir - Growth</t>
  </si>
  <si>
    <t>Edelweiss Arbitrage Fund - Dir - Growth</t>
  </si>
  <si>
    <t>Franklin India Arbitrage Fund - Dir - Growth</t>
  </si>
  <si>
    <t>HDFC Arbitrage Fund - Dir - Growth</t>
  </si>
  <si>
    <t>Helios Arbitrage Fund - Dir - Growth</t>
  </si>
  <si>
    <t>HSBC Arbitrage Fund - Dir - Growth</t>
  </si>
  <si>
    <t>ICICI Prudential Arbitrage Fund - Dir - Growth</t>
  </si>
  <si>
    <t>Invesco India Arbitrage Fund - Dir - Growth</t>
  </si>
  <si>
    <t>ITI Arbitrage Fund - Dir - Growth</t>
  </si>
  <si>
    <t>JioBlackRock Arbitrage Fund - Dir - Growth</t>
  </si>
  <si>
    <t>JM Arbitrage Fund - Dir - Growth</t>
  </si>
  <si>
    <t>Kotak Arbitrage Fund - Dir - Growth</t>
  </si>
  <si>
    <t>LIC MF Arbitrage Fund - Dir - Growth</t>
  </si>
  <si>
    <t>Mahindra Manulife Arbitrage Fund - Dir - Growth</t>
  </si>
  <si>
    <t>Mirae Asset Arbitrage Fund - Dir - Growth</t>
  </si>
  <si>
    <t>Motilal Oswal Arbitrage Fund - Dir - Growth</t>
  </si>
  <si>
    <t>Nippon India Arbitrage Fund - Dir - Growth</t>
  </si>
  <si>
    <t>NJ Arbitrage Fund - Dir - Growth</t>
  </si>
  <si>
    <t>Old Bridge Arbitrage Fund - Dir - Growth</t>
  </si>
  <si>
    <t>Parag Parikh Arbitrage Fund - Dir - Growth</t>
  </si>
  <si>
    <t>PGIM India Arbitrage Fund - Dir - Growth</t>
  </si>
  <si>
    <t>quant Arbitrage Fund - Dir - Growth</t>
  </si>
  <si>
    <t>Samco Arbitrage Fund - Dir - Growth</t>
  </si>
  <si>
    <t>SBI Arbitrage Opportunities Fund - Dir - Growth</t>
  </si>
  <si>
    <t>Sundaram Arbitrage Fund - Dir - Growth</t>
  </si>
  <si>
    <t>Tata Arbitrage Fund - Dir - Growth</t>
  </si>
  <si>
    <t>The Wealth Company Arbitrage Fund - Dir - Growth</t>
  </si>
  <si>
    <t>TRUSTMF Arbitrage Fund - Dir - Growth</t>
  </si>
  <si>
    <t>Union Arbitrage Fund - Dir - Growth</t>
  </si>
  <si>
    <t>UTI Arbitrage Fund - Dir - Growth</t>
  </si>
  <si>
    <t>WhiteOak Capital Arbitrage Fund - Dir - Growth</t>
  </si>
  <si>
    <t>Aditya Birla Sun Life Balanced Advantage Fund - Dir - Growth</t>
  </si>
  <si>
    <t>Axis Balanced Advantage Fund - Dir - Growth</t>
  </si>
  <si>
    <t>Bajaj Finserv Balanced Advantage Fund - Dir - Growth</t>
  </si>
  <si>
    <t>Bandhan Balanced Advantage Fund - Dir - Growth</t>
  </si>
  <si>
    <t>Bank of India Balanced Advantage Fund - Dir - Growth</t>
  </si>
  <si>
    <t>Baroda BNP Paribas Balanced Advantage Fund - Dir - Growth</t>
  </si>
  <si>
    <t>Canara Robeco Balanced Advantage Fund - Dir - Growth</t>
  </si>
  <si>
    <t>DSP Dynamic Asset Allocation Fund - Dir - Growth</t>
  </si>
  <si>
    <t>Edelweiss Balanced Advantage Fund - Dir - Growth</t>
  </si>
  <si>
    <t>Franklin India Balanced Advantage Fund - Dir - Growth</t>
  </si>
  <si>
    <t>HDFC Balanced Advantage Fund - Dir - Growth</t>
  </si>
  <si>
    <t>Helios Balanced Advantage Fund - Dir - Growth</t>
  </si>
  <si>
    <t>HSBC Balanced Advantage Fund - Dir - Growth</t>
  </si>
  <si>
    <t>ICICI Prudential Balanced Advantage Fund - Dir - Growth</t>
  </si>
  <si>
    <t>Invesco India Balanced Advantage Fund - Dir - Growth</t>
  </si>
  <si>
    <t>ITI Balanced Advantage Fund - Dir - Growth</t>
  </si>
  <si>
    <t>Kotak Balanced Advantage Fund - Dir - Growth</t>
  </si>
  <si>
    <t>LIC MF Balanced Advantage Fund - Dir - Growth</t>
  </si>
  <si>
    <t>Mahindra Manulife Balanced Advantage Fund - Dir - Growth</t>
  </si>
  <si>
    <t>Mirae Asset Balanced Advantage Fund - Dir - Growth</t>
  </si>
  <si>
    <t>Motilal Oswal Balance Advantage Fund - Dir - Growth</t>
  </si>
  <si>
    <t>Nippon India Balanced Advantage Fund - Dir - Growth</t>
  </si>
  <si>
    <t>NJ Balanced Advantage Fund - Dir - Growth</t>
  </si>
  <si>
    <t>Parag Parikh Dynamic Asset Allocation Fund - Dir - Growth</t>
  </si>
  <si>
    <t>PGIM India Balanced Advantage Fund - Dir - Growth</t>
  </si>
  <si>
    <t>Quant Dynamic Asset Allocation Fund - Dir - Growth</t>
  </si>
  <si>
    <t>Samco Dynamic Asset Allocation Fund - Dir - Growth</t>
  </si>
  <si>
    <t>SBI Balanced Advantage Fund - Dir - Growth</t>
  </si>
  <si>
    <t>Shriram Balanced Advantage Fund - Dir - Growth</t>
  </si>
  <si>
    <t>Sundaram Balanced Advantage Fund - Dir - Growth</t>
  </si>
  <si>
    <t>Tata Balanced Advantage Fund - Dir - Growth</t>
  </si>
  <si>
    <t>The Wealth Company Balanced Advantage Fund - Dir - Growth</t>
  </si>
  <si>
    <t>Unifi Dynamic Asset Allocation Fund - Dir - Growth</t>
  </si>
  <si>
    <t>Union Balanced Advantage Fund - Dir - Growth</t>
  </si>
  <si>
    <t>UTI Balanced Advantage Fund - Dir - Growth</t>
  </si>
  <si>
    <t>WhiteOak Capital Balanced Advantage Fund - Dir - Growth</t>
  </si>
  <si>
    <t>Aditya Birla Sun Life Equity Savings Fund - Dir - Growth</t>
  </si>
  <si>
    <t>Axis Equity Savings Fund - Dir - Growth</t>
  </si>
  <si>
    <t>Bajaj Finserv Equity Savings Fund - Dir - Growth</t>
  </si>
  <si>
    <t>Bandhan Equity Savings Fund - Dir - Growth</t>
  </si>
  <si>
    <t>Baroda BNP Paribas Equity Savings Fund - Dir - Growth</t>
  </si>
  <si>
    <t>DSP Equity Savings Fund - Dir - Growth</t>
  </si>
  <si>
    <t>Edelweiss Equity Savings Fund - Dir - Growth</t>
  </si>
  <si>
    <t>Franklin India Equity Savings Fund - Dir - Growth</t>
  </si>
  <si>
    <t>HDFC Equity Savings Fund - Dir - Growth</t>
  </si>
  <si>
    <t>HSBC Equity Savings Fund - Dir - Growth</t>
  </si>
  <si>
    <t>ICICI Prudential Equity Savings Fund - Dir - Growth</t>
  </si>
  <si>
    <t>Invesco India Equity Savings Fund - Dir - Growth</t>
  </si>
  <si>
    <t>Kotak Equity Savings Fund - Dir - Growth</t>
  </si>
  <si>
    <t>LIC MF Equity Savings Fund - Dir - Growth</t>
  </si>
  <si>
    <t>Mahindra Manulife Equity Savings Fund - Dir - Growth</t>
  </si>
  <si>
    <t>Mirae Asset Equity Savings Fund - Dir - Growth</t>
  </si>
  <si>
    <t>Nippon India Equity Savings Fund - Dir - Growth</t>
  </si>
  <si>
    <t>PGIM India Equity Savings Fund - Dir - Growth</t>
  </si>
  <si>
    <t>quant Equity Savings Fund - Dir - Growth</t>
  </si>
  <si>
    <t>SBI Equity Savings Fund - Dir - Growth</t>
  </si>
  <si>
    <t>Sundaram Equity Savings Fund - Dir - Growth</t>
  </si>
  <si>
    <t>Union Equity Savings Fund - Dir - Growth</t>
  </si>
  <si>
    <t>UTI Equity Savings Fund - Dir - Growth</t>
  </si>
  <si>
    <t>WhiteOak Capital Equity Savings Fund - Dir - Growth</t>
  </si>
  <si>
    <t>NIFTY 100 Alpha 30 Index</t>
  </si>
  <si>
    <t>Nifty 100 Low Volatility 30</t>
  </si>
  <si>
    <t>NIFTY 100 Quality 30 Index</t>
  </si>
  <si>
    <t>Nifty 200 Momentum 30 Index</t>
  </si>
  <si>
    <t>Nifty 200 Quality 30 Index</t>
  </si>
  <si>
    <t>Nifty Auto</t>
  </si>
  <si>
    <t>Nifty Bank</t>
  </si>
  <si>
    <t>Nifty Capital Markets</t>
  </si>
  <si>
    <t>Nifty Commodities</t>
  </si>
  <si>
    <t>Nifty Consumer Durables</t>
  </si>
  <si>
    <t>Nifty Energy</t>
  </si>
  <si>
    <t>Nifty Financial Services</t>
  </si>
  <si>
    <t>Nifty Healthcare Index</t>
  </si>
  <si>
    <t>Nifty India Consumption</t>
  </si>
  <si>
    <t>Nifty India Defence Index</t>
  </si>
  <si>
    <t>Nifty India Digital Index</t>
  </si>
  <si>
    <t>Nifty India Manufacturing</t>
  </si>
  <si>
    <t>Nifty Infrastructure</t>
  </si>
  <si>
    <t>Nifty IT</t>
  </si>
  <si>
    <t>Nifty Low Volatility 50</t>
  </si>
  <si>
    <t>Nifty Metal</t>
  </si>
  <si>
    <t>Nifty Midcap150 Momentum 50</t>
  </si>
  <si>
    <t>NIFTY Midcap150 Quality 50</t>
  </si>
  <si>
    <t>Nifty Next 50</t>
  </si>
  <si>
    <t>Nifty Pharma</t>
  </si>
  <si>
    <t>Nifty Private Bank</t>
  </si>
  <si>
    <t>Nifty PSU Bank</t>
  </si>
  <si>
    <t>Nifty Realty</t>
  </si>
  <si>
    <t>Nifty Smallcap250 Momentum Quality 100</t>
  </si>
  <si>
    <t>Aditya Birla Sun Life Consumption Fund - Dir - Growth</t>
  </si>
  <si>
    <t>Axis Consumption Fund - Dir - Growth</t>
  </si>
  <si>
    <t>Bajaj Finserv Consumption Fund - Dir - Growth</t>
  </si>
  <si>
    <t>Bank of India Consumption Fund - Dir - Growth</t>
  </si>
  <si>
    <t>Baroda BNP Paribas India Consumption Fund - Dir - Growth</t>
  </si>
  <si>
    <t>Canara Robeco Consumption Fund - Dir - Growth</t>
  </si>
  <si>
    <t>Edelweiss Consumption Fund - Dir - Growth</t>
  </si>
  <si>
    <t>HSBC Consumption Fund - Dir - Growth</t>
  </si>
  <si>
    <t>ICICI Prudential Bharat Consumption Fund - Dir - Growth</t>
  </si>
  <si>
    <t>ICICI Prudential FMCG - Dir - Growth</t>
  </si>
  <si>
    <t>ITI Bharat Consumption Fund - Dir - Growth</t>
  </si>
  <si>
    <t>Invesco India Consumption Fund - Dir - Growth</t>
  </si>
  <si>
    <t>Kotak Consumption Fund - Dir - Growth</t>
  </si>
  <si>
    <t>LIC MF Consumption Fund - Dir - Growth</t>
  </si>
  <si>
    <t>Mahindra Manulife Consumption Fund - Dir - Growth</t>
  </si>
  <si>
    <t>Mirae Asset Great Consumer Fund - Dir - Growth</t>
  </si>
  <si>
    <t>Motilal Oswal Consumption Fund - Dir - Growth</t>
  </si>
  <si>
    <t>Nippon India Consumption Fund - Dir - Growth</t>
  </si>
  <si>
    <t>Quant Consumption Fund - Dir - Growth</t>
  </si>
  <si>
    <t>SBI Consumption Opportunities Fund - Dir - Growth</t>
  </si>
  <si>
    <t>Sundaram Consumption Fund - Dir - Growth</t>
  </si>
  <si>
    <t>Tata India Consumer Fund - Dir - Growth</t>
  </si>
  <si>
    <t>UTI India Consumer Fund - Dir - Growth</t>
  </si>
  <si>
    <t>Union Consumption Fund - Dir - Growth</t>
  </si>
  <si>
    <t>WhiteOak Capital Consumption Opportunities Fund - Dir - Growth</t>
  </si>
  <si>
    <t>Aditya Birla Sun Life Banking and Financial Services Fund - Dir - Growth</t>
  </si>
  <si>
    <t>Bajaj Finserv Banking and Financial Services Fund - Dir - Growth</t>
  </si>
  <si>
    <t>Bandhan Financial Services Fund - Dir - Growth</t>
  </si>
  <si>
    <t>Bank of India Banking &amp; Financial Services Fund - Dir - Growth</t>
  </si>
  <si>
    <t>Baroda BNP Paribas Banking &amp; Financial Services Fund - Dir - Growth</t>
  </si>
  <si>
    <t>Canara Robeco Banking and Financial Services Fund - Dir - Growth</t>
  </si>
  <si>
    <t>DSP Banking and Financial Services Fund - Dir - Growth</t>
  </si>
  <si>
    <t>Edelweiss Financial Services Fund - Dir - Growth</t>
  </si>
  <si>
    <t>Groww Banking &amp; Financial Services Fund - Dir - Growth</t>
  </si>
  <si>
    <t>HDFC Banking &amp; Financial Services Fund - Dir - Growth</t>
  </si>
  <si>
    <t>HSBC Financial Services Fund - Dir - Growth</t>
  </si>
  <si>
    <t>Helios Financial Services Fund - Dir - Growth</t>
  </si>
  <si>
    <t>ICICI Prudential Banking and Financial Services Fund - Dir - Growth</t>
  </si>
  <si>
    <t>ITI Banking and Financial Services Fund - Dir - Growth</t>
  </si>
  <si>
    <t>Invesco India Financial Services Fund - Dir - Growth</t>
  </si>
  <si>
    <t>Kotak Banking &amp; Financial Services Fund - Dir - Growth</t>
  </si>
  <si>
    <t>LIC MF Banking &amp; Financial Services Fund - Dir - Growth</t>
  </si>
  <si>
    <t>Mahindra Manulife Banking and Financial Services Fund - Dir - Growth</t>
  </si>
  <si>
    <t>Mirae Asset Banking and Financial Services Fund - Dir - Growth</t>
  </si>
  <si>
    <t>Motilal Oswal Financial Services Fund - Dir - Growth</t>
  </si>
  <si>
    <t>Nippon India Banking &amp; Financial Services Fund - Dir - Growth</t>
  </si>
  <si>
    <t>Quant BFSI Fund - Dir - Growth</t>
  </si>
  <si>
    <t>SBI Banking &amp; Financial Services Fund - Dir - Growth</t>
  </si>
  <si>
    <t>Sundaram Financial Services Opportunities Fund - Dir - Growth</t>
  </si>
  <si>
    <t>Tata Banking And Financial Services Fund - Dir - Growth</t>
  </si>
  <si>
    <t>Taurus Banking &amp; Financial Services Fund - Dir - Growth</t>
  </si>
  <si>
    <t>UTI Banking and Financial Services Fund - Dir - Growth</t>
  </si>
  <si>
    <t>WhiteOak Capital Banking &amp; Financial Services Fund - Dir - Growth</t>
  </si>
  <si>
    <t>Aditya Birla Sun Life Digital India Fund - Dir - Growth</t>
  </si>
  <si>
    <t>Edelweiss Technology Fund - Dir - Growth</t>
  </si>
  <si>
    <t>Franklin India Technology Fund - Dir - Growth</t>
  </si>
  <si>
    <t>HDFC Technology Fund - Dir - Growth</t>
  </si>
  <si>
    <t>ICICI Prudential Technology Fund - Dir - Growth</t>
  </si>
  <si>
    <t>Invesco India Technology Fund - Dir - Growth</t>
  </si>
  <si>
    <t>Kotak Technology Fund - Dir - Growth</t>
  </si>
  <si>
    <t>LIC MF Technology Fund - Dir - Growth</t>
  </si>
  <si>
    <t>Motilal Oswal Digital India Fund - Dir - Growth</t>
  </si>
  <si>
    <t>Quant Teck Fund - Dir - Growth</t>
  </si>
  <si>
    <t>SBI Technology Opportunities Fund - Dir - Growth</t>
  </si>
  <si>
    <t>Tata Digital India Fund - Dir - Growth</t>
  </si>
  <si>
    <t>WhiteOak Capital Digital Bharat Fund - Dir - Growth</t>
  </si>
  <si>
    <t>Aditya Birla Sun Life Pharma &amp; Healthcare Fund - Dir - Growth</t>
  </si>
  <si>
    <t>Bajaj Finserv Healthcare Fund - Dir - Growth</t>
  </si>
  <si>
    <t>Bandhan Healthcare Fund - Dir - Growth</t>
  </si>
  <si>
    <t>Baroda BNP Paribas Health and Wellness Fund (BBNPHW) - Dir - Growth</t>
  </si>
  <si>
    <t>DSP Healthcare Fund - Dir - Growth</t>
  </si>
  <si>
    <t>HDFC Pharma and Healthcare Fund - Dir - Growth</t>
  </si>
  <si>
    <t>ICICI Prudential Pharma Healthcare and Diagnostics Fund - Dir - Growth</t>
  </si>
  <si>
    <t>ITI Pharma and Healthcare Fund - Dir - Growth</t>
  </si>
  <si>
    <t>Kotak Healthcare Fund - Dir - Growth</t>
  </si>
  <si>
    <t>LIC MF Healthcare Fund - Dir - Growth</t>
  </si>
  <si>
    <t>Mirae Asset Healthcare Fund - Dir - Growth</t>
  </si>
  <si>
    <t>Nippon India Pharma Fund - Dir - Growth</t>
  </si>
  <si>
    <t>PGIM India Healthcare Fund - Dir - Growth</t>
  </si>
  <si>
    <t>Quant Healthcare Fund - Dir - Growth</t>
  </si>
  <si>
    <t>SBI Healthcare Opportunities Fund - Dir - Growth</t>
  </si>
  <si>
    <t>Tata India Pharma And Healthcare Fund - Dir - Growth</t>
  </si>
  <si>
    <t>UTI Healthcare Fund - Dir - Growth</t>
  </si>
  <si>
    <t>WhiteOak Capital Pharma and Healthcare Fund - Dir - Growth</t>
  </si>
  <si>
    <t>Aditya Birla Sun Life Infrastructure Fund - Dir - Growth</t>
  </si>
  <si>
    <t>Bandhan Infrastructure Fund - Dir - Growth</t>
  </si>
  <si>
    <t>Canara Robeco Infrastructure Fund - Dir - Growth</t>
  </si>
  <si>
    <t>Franklin Build India Fund - Dir - Growth</t>
  </si>
  <si>
    <t>HDFC Defence Fund - Dir - Growth</t>
  </si>
  <si>
    <t>HDFC Infrastructure Fund - Dir - Growth</t>
  </si>
  <si>
    <t>HSBC Infrastructure Fund - Dir - Growth</t>
  </si>
  <si>
    <t>ICICI Prudential Infrastructure Fund - Dir - Growth</t>
  </si>
  <si>
    <t>Invesco India Infrastructure Fund - Dir - Growth</t>
  </si>
  <si>
    <t>Kotak Infrastructure &amp; Economic Reform Fund - Dir - Growth</t>
  </si>
  <si>
    <t>LIC MF Infrastructure Fund - Dir - Growth</t>
  </si>
  <si>
    <t>Mirae Asset Infrastructure Fund - Dir - Growth</t>
  </si>
  <si>
    <t>Motilal Oswal Infrastructure Fund - Dir - Growth</t>
  </si>
  <si>
    <t>Nippon India Power &amp; Infra Fund - Dir - Growth</t>
  </si>
  <si>
    <t>Quant Infrastructure Fund - Dir - Growth</t>
  </si>
  <si>
    <t>SBI Infrastructure Fund - Dir - Growth</t>
  </si>
  <si>
    <t>Sundaram Infrastructure Advantage Fund - Dir - Growth</t>
  </si>
  <si>
    <t>Tata Infrastructure Fund - Dir - Growth</t>
  </si>
  <si>
    <t>Taurus Infrastructure Fund - Dir - Growth</t>
  </si>
  <si>
    <t>UTI Infrastructure Fund - Dir - Growth</t>
  </si>
  <si>
    <t>Aditya Birla Sun Life Manufacturing Equity Fund - Dir - Growth</t>
  </si>
  <si>
    <t>Axis India Manufacturing Fund - Dir - Growth</t>
  </si>
  <si>
    <t>Bank of India Manufacturing &amp; Infrastructure Fund - Dir - Growth</t>
  </si>
  <si>
    <t>Baroda BNP Paribas Manufacturing Fund - Dir - Growth</t>
  </si>
  <si>
    <t>Canara Robeco Manufacturing Fund - Dir - Growth</t>
  </si>
  <si>
    <t>DSP India Tiger Fund - Dir - Growth</t>
  </si>
  <si>
    <t>HDFC Manufacturing Fund - Dir - Growth</t>
  </si>
  <si>
    <t>ICICI Prudential Manufacturing Fund - Dir - Growth</t>
  </si>
  <si>
    <t>Invesco India Manufacturing Fund - Dir - Growth</t>
  </si>
  <si>
    <t>Kotak Manufacture in India Fund - Dir - Growth</t>
  </si>
  <si>
    <t>LIC MF Manufacturing Fund - Dir - Growth</t>
  </si>
  <si>
    <t>Mahindra Manulife Manufacturing Fund - Dir - Growth</t>
  </si>
  <si>
    <t>Motilal Oswal Manufacturing Fund - Dir - Growth</t>
  </si>
  <si>
    <t>Quant Manufacturing Fund - Dir - Growth</t>
  </si>
  <si>
    <t>SBI Automotive Opportunities Fund - Dir - Growth</t>
  </si>
  <si>
    <t>Aditya Birla Sun Life PSU Equity Fund - Dir - Growth</t>
  </si>
  <si>
    <t>ICICI Prudential PSU Equity Fund - Dir - Growth</t>
  </si>
  <si>
    <t>Invesco India PSU Equity Fund - Dir - Growth</t>
  </si>
  <si>
    <t>Quant PSU Fund - Dir - Growth</t>
  </si>
  <si>
    <t>SBI PSU Fund - Dir - Growth</t>
  </si>
  <si>
    <t>Baroda BNP Paribas Energy Opportunities Fund - Dir - Growth</t>
  </si>
  <si>
    <t>DSP Natural Resources &amp; New Energy Fund - Dir - Gth</t>
  </si>
  <si>
    <t>ICICI Prudential Energy Opportunities Fund - Dir - Growth</t>
  </si>
  <si>
    <t>Kotak Energy Opportunities Fund - Dir - Growth</t>
  </si>
  <si>
    <t>SBI Energy Opportunities Fund - Dir - Growth</t>
  </si>
  <si>
    <t>Tata Resources &amp; Energy Fund - Dir - Growth</t>
  </si>
  <si>
    <t>Aditya Birla Sun Life Transportation and Logistics Fund - Dir - Growth</t>
  </si>
  <si>
    <t>Bandhan Transportation and Logistics Fund - Dir - Growth</t>
  </si>
  <si>
    <t>HDFC Transportation and Logistics Fund - Dir - Growth</t>
  </si>
  <si>
    <t>ICICI Prudential Transportation and Logistics Fund - Dir - Growth</t>
  </si>
  <si>
    <t>Kotak Transportation &amp; Logistics Fund - Dir - Growth</t>
  </si>
  <si>
    <t>UTI Transportation and Logistics Fund - Dir - Growth</t>
  </si>
  <si>
    <t>Axis Services Opportunities Fund - Dir - Growth</t>
  </si>
  <si>
    <t>Kotak Services Fund - Dir - Growth</t>
  </si>
  <si>
    <t>Motilal Oswal Services Fund - Dir - Growth</t>
  </si>
  <si>
    <t>Sundaram Services Fund - Dir - Growth</t>
  </si>
  <si>
    <t>HSBC India Export Opportunities Fund - Dir - Growth</t>
  </si>
  <si>
    <t>ICICI Prudential Exports and Services Fund - Dir - Growth</t>
  </si>
  <si>
    <t>Aditya Birla Sun Life Nifty 50 Equal Weight Index Fund - Dir - Growth</t>
  </si>
  <si>
    <t>Angel One Nifty Total Market Momentum Quality 50 Index Fund - Dir - Growth</t>
  </si>
  <si>
    <t>Axis Nifty500 Momentum 50 Index Fund - Dir - Growth</t>
  </si>
  <si>
    <t>Axis Nifty500 Quality 50 Index Fund - Dir - Growth</t>
  </si>
  <si>
    <t>Axis Nifty500 Value 50 Index Fund - Dir - Growth</t>
  </si>
  <si>
    <t>Bandhan Nifty 200 Quality 30 Index Fund - Dir - Growth</t>
  </si>
  <si>
    <t>Bandhan Nifty 500 Momentum 50 Index Fund - Dir - Growth</t>
  </si>
  <si>
    <t>Bandhan Nifty 500 Value 50 Index Fund - Dir - Growth</t>
  </si>
  <si>
    <t>Bandhan Nifty Alpha 50 Index Fund - Dir - Growth</t>
  </si>
  <si>
    <t>Bandhan Nifty Alpha Low Volatility 30 Index Fund - Dir - Growth</t>
  </si>
  <si>
    <t>Bandhan Nifty100 Low Volatility 30 Index Fund - Dir - Growth</t>
  </si>
  <si>
    <t>Bandhan Nifty200 Momentum 30 Index Fund - Dir - Growth</t>
  </si>
  <si>
    <t>Baroda BNP Paribas Nifty200 Momentum 30 Index Fund - Dir - Growth</t>
  </si>
  <si>
    <t>DSP Nifty 50 Equal Weight Index Fund - Dir - Growth</t>
  </si>
  <si>
    <t>DSP Nifty Midcap 150 Quality 50 Index Fund - Dir - Growth</t>
  </si>
  <si>
    <t>DSP Nifty Smallcap250 Quality 50 Index Fund - Dir - Growth</t>
  </si>
  <si>
    <t>DSP Nifty Top 10 Equal Weight Index Fund - Dir - Growth</t>
  </si>
  <si>
    <t>DSP Nifty500 Flexicap Quality 30 Index Fund - Dir - Growth</t>
  </si>
  <si>
    <t>Edelweiss Nifty 100 Quality 30 Index Fund - Dir - Growth</t>
  </si>
  <si>
    <t>Edelweiss Nifty Alpha Low Volatility 30 Index Fund - Dir - Growth</t>
  </si>
  <si>
    <t>Edelweiss Nifty Midcap150 Momentum 50 Index Fund - Dir - Growth</t>
  </si>
  <si>
    <t>Edelweiss Nifty500 Multicap Momentum Quality 50 Index Fund - Dir - Growth</t>
  </si>
  <si>
    <t>HDFC NIFTY 100 Equal Weight Index Fund - Dir - Growth</t>
  </si>
  <si>
    <t>HDFC Nifty Top 20 Equal Weight Index Fund - Dir - Growth</t>
  </si>
  <si>
    <t>HDFC NIFTY100 Low Volatility 30 Index Fund - Dir - Growth</t>
  </si>
  <si>
    <t>HDFC Nifty100 Quality 30 Index Fund - Dir - Growth</t>
  </si>
  <si>
    <t>HDFC NIFTY200 Momentum 30 Index Fund - Dir - Growth</t>
  </si>
  <si>
    <t>HDFC NIFTY50 Equal Weight Index Fund - Dir - Growth</t>
  </si>
  <si>
    <t>ICICI Prudential Nifty 200 Momentum 30 Index Fund - Dir - Growth</t>
  </si>
  <si>
    <t>ICICI Prudential Nifty200 Quality 30 Index Fund - Dir - Growth</t>
  </si>
  <si>
    <t>ICICI Prudential Nifty200 Value 30 Index Fund - Dir - Growth</t>
  </si>
  <si>
    <t>ICICI Prudential Nifty50 Equal Weight Index Fund - Dir - Growth</t>
  </si>
  <si>
    <t>ICICI Prudential Nifty50 Value 20 Index Fund - Dir - Growth</t>
  </si>
  <si>
    <t>Kotak Nifty 100 Equal Weight Index Fund - Dir - Growth</t>
  </si>
  <si>
    <t>Kotak Nifty 100 Low Volatility 30 Index Fund - Dir - Growth</t>
  </si>
  <si>
    <t>Kotak Nifty 200 Momentum 30 Index Fund - Dir - Growth</t>
  </si>
  <si>
    <t>Kotak Nifty 200 Quality 30 Index Fund - Dir - Growth</t>
  </si>
  <si>
    <t>Kotak Nifty 50 Equal Weight Index Fund - Dir - Growth</t>
  </si>
  <si>
    <t>Kotak Nifty Alpha 50 Index Fund - Dir - Growth</t>
  </si>
  <si>
    <t>Kotak NIFTY Midcap 150 Momentum 50 Index Fund - Dir - Growth</t>
  </si>
  <si>
    <t>Kotak Nifty Top 10 Equal Weight Index Fund - Dir - Growth</t>
  </si>
  <si>
    <t>Kotak Nifty200 Value 30 Index Fund - Dir - Growth</t>
  </si>
  <si>
    <t>Kotak Nifty500 Momentum 50 Index Fund - Dir - Growth</t>
  </si>
  <si>
    <t>Mirae Asset Nifty Total Market Index Fund - Dir - Growth</t>
  </si>
  <si>
    <t>Motilal Oswal Nifty 200 Momentum 30 Index Fund - Dir - Growth</t>
  </si>
  <si>
    <t>Motilal Oswal Nifty 500 Momentum 50 Index Fund - Dir - Growth</t>
  </si>
  <si>
    <t>Navi Nifty Smallcap250 Momentum Quality 100 Index Fund - Dir - Growth</t>
  </si>
  <si>
    <t>Nippon India Nifty 50 Value 20 Index Fund - Dir - Growth</t>
  </si>
  <si>
    <t>Nippon India Nifty 500 Equal Weight Index Fund - Dir - Growth</t>
  </si>
  <si>
    <t>Nippon India Nifty 500 Low Volatility 50 Index Fund - Dir - Growth</t>
  </si>
  <si>
    <t>Nippon India Nifty 500 Momentum 50 Index Fund - Dir - Growth</t>
  </si>
  <si>
    <t>Nippon India Nifty 500 Quality 50 Index Fund - Dir - Growth</t>
  </si>
  <si>
    <t>Nippon India Nifty Alpha Low Volatility 30 Index Fund - Dir - Growth</t>
  </si>
  <si>
    <t>SBI Nifty100 Low Volatility 30 Index Fund - Dir - Growth</t>
  </si>
  <si>
    <t>SBI Nifty200 Momentum 30 Index Fund - Dir - Growth</t>
  </si>
  <si>
    <t>SBI Nifty200 Quality 30 Index Fund - Dir - Growth</t>
  </si>
  <si>
    <t>SBI Nifty50 Equal Weight Index Fund - Dir - Growth</t>
  </si>
  <si>
    <t>Sundaram Nifty 100 Equal Weight Fund - Dir - Growth</t>
  </si>
  <si>
    <t>Tata BSE Quality Index Fund - Dir - Growth</t>
  </si>
  <si>
    <t>Tata Nifty Midcap 150 Momentum 50 Index Fund - Dir - Growth</t>
  </si>
  <si>
    <t>UTI BSE Low Volatility Index Fund - Dir - Growth</t>
  </si>
  <si>
    <t>UTI Nifty 50 Equal Weight Index Fund - Dir - Growth</t>
  </si>
  <si>
    <t>UTI Nifty 500 Value 50 Index Fund - Dir - Growth</t>
  </si>
  <si>
    <t>UTI Nifty Alpha Low-Volatility 30 Index Fund - Dir - Growth</t>
  </si>
  <si>
    <t>UTI Nifty Midcap 150 Quality 50 Index Fund - Dir - Growth</t>
  </si>
  <si>
    <t>UTI Nifty Midsmallcap 400 Momentum Quality 100 Index Fund - Dir - Growth</t>
  </si>
  <si>
    <t>UTI Nifty200 Momentum 30 Index Fund - Dir - Growth</t>
  </si>
  <si>
    <t>UTI Nifty200 Quality 30 Index Fund - Dir - Growth</t>
  </si>
  <si>
    <t>( As on 14-08-26 )</t>
  </si>
  <si>
    <t>Motilal Oswal Active Momentum Fund - Dir - Growth</t>
  </si>
  <si>
    <t>ICICI Prudential Active Momentum Fund - Dir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</si>
</sst>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"/>
    <numFmt numFmtId="165" formatCode="#,###,##0.00"/>
    <numFmt numFmtId="166" formatCode="_ * #,##0.00_ ;_ * \-#,##0.00_ ;_ * \-??_ ;_ @_ "/>
  </numFmts>
  <fonts count="8" x14ac:knownFonts="1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sz val="11"/>
      <name val="Aptos Narrow"/>
      <family val="2"/>
      <charset val="1"/>
    </font>
    <font>
      <b/>
      <i/>
      <sz val="11"/>
      <name val="Aptos Narrow"/>
      <family val="2"/>
      <charset val="1"/>
    </font>
    <font>
      <i/>
      <sz val="11"/>
      <name val="Aptos Narrow"/>
      <family val="2"/>
      <charset val="1"/>
    </font>
    <font>
      <b/>
      <i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6" tint="0.79979857783745845"/>
        <bgColor rgb="FFC6EFCE"/>
      </patternFill>
    </fill>
    <fill>
      <patternFill patternType="solid">
        <fgColor theme="4" tint="0.59978026673177287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6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166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0" fillId="0" borderId="2" xfId="0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165" fontId="4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7" fillId="0" borderId="1" xfId="0" applyFont="1" applyBorder="1"/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78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6EFCE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A16" zoomScale="70" zoomScaleNormal="70" workbookViewId="0">
      <selection activeCell="H42" sqref="H42"/>
    </sheetView>
  </sheetViews>
  <sheetFormatPr defaultColWidth="8.54296875" defaultRowHeight="14.5" x14ac:dyDescent="0.35"/>
  <cols>
    <col min="1" max="1" width="42.26953125" customWidth="1"/>
    <col min="2" max="2" width="6.7265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1796875" customWidth="1"/>
    <col min="11" max="11" width="12.90625" customWidth="1"/>
    <col min="12" max="12" width="1.54296875" customWidth="1"/>
    <col min="13" max="13" width="6.54296875" customWidth="1"/>
    <col min="14" max="14" width="6.90625" customWidth="1"/>
    <col min="16" max="16" width="10.36328125" customWidth="1"/>
  </cols>
  <sheetData>
    <row r="1" spans="1:14" ht="14.25" customHeight="1" x14ac:dyDescent="0.35">
      <c r="A1" s="1" t="s">
        <v>676</v>
      </c>
      <c r="M1" s="34">
        <v>46082</v>
      </c>
      <c r="N1" s="34"/>
    </row>
    <row r="2" spans="1:14" ht="14.25" customHeigh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12</v>
      </c>
      <c r="B3" s="5">
        <v>-0.2</v>
      </c>
      <c r="C3" s="5">
        <v>2.35</v>
      </c>
      <c r="D3" s="5">
        <v>14.04</v>
      </c>
      <c r="E3" s="5" t="s">
        <v>13</v>
      </c>
      <c r="F3" s="5" t="s">
        <v>13</v>
      </c>
      <c r="G3" s="5" t="s">
        <v>13</v>
      </c>
      <c r="H3" s="5" t="s">
        <v>13</v>
      </c>
      <c r="I3" s="5">
        <v>25.6</v>
      </c>
      <c r="K3" s="6">
        <v>1494.42</v>
      </c>
      <c r="M3" s="5">
        <v>1.0900000000000001</v>
      </c>
      <c r="N3" s="5">
        <v>2.4300000000000002</v>
      </c>
    </row>
    <row r="4" spans="1:14" ht="14.25" customHeight="1" x14ac:dyDescent="0.35">
      <c r="A4" s="4" t="s">
        <v>14</v>
      </c>
      <c r="B4" s="5">
        <v>1.1399999999999999</v>
      </c>
      <c r="C4" s="5">
        <v>5.19</v>
      </c>
      <c r="D4" s="5">
        <v>12.25</v>
      </c>
      <c r="E4" s="5">
        <v>19</v>
      </c>
      <c r="F4" s="5">
        <v>21.51</v>
      </c>
      <c r="G4" s="5">
        <v>17.670000000000002</v>
      </c>
      <c r="H4" s="5">
        <v>15.05</v>
      </c>
      <c r="I4" s="5">
        <v>17.190000000000001</v>
      </c>
      <c r="K4" s="6">
        <v>5731.31</v>
      </c>
      <c r="M4" s="5">
        <v>0.91</v>
      </c>
      <c r="N4" s="5">
        <v>1.9</v>
      </c>
    </row>
    <row r="5" spans="1:14" ht="14.25" customHeight="1" x14ac:dyDescent="0.35">
      <c r="A5" s="4" t="s">
        <v>15</v>
      </c>
      <c r="B5" s="5">
        <v>0.76</v>
      </c>
      <c r="C5" s="5">
        <v>3.12</v>
      </c>
      <c r="D5" s="5">
        <v>10.18</v>
      </c>
      <c r="E5" s="5">
        <v>14.55</v>
      </c>
      <c r="F5" s="5">
        <v>12.86</v>
      </c>
      <c r="G5" s="5">
        <v>17.760000000000002</v>
      </c>
      <c r="H5" s="5">
        <v>17.71</v>
      </c>
      <c r="I5" s="5">
        <v>22.83</v>
      </c>
      <c r="K5" s="6">
        <v>29393.79</v>
      </c>
      <c r="M5" s="5">
        <v>0.56000000000000005</v>
      </c>
      <c r="N5" s="5">
        <v>1.61</v>
      </c>
    </row>
    <row r="6" spans="1:14" ht="14.25" customHeight="1" x14ac:dyDescent="0.35">
      <c r="A6" s="4" t="s">
        <v>16</v>
      </c>
      <c r="B6" s="5">
        <v>0.1</v>
      </c>
      <c r="C6" s="5">
        <v>3.28</v>
      </c>
      <c r="D6" s="5">
        <v>12.09</v>
      </c>
      <c r="E6" s="5">
        <v>18.73</v>
      </c>
      <c r="F6" s="5">
        <v>19.87</v>
      </c>
      <c r="G6" s="5" t="s">
        <v>13</v>
      </c>
      <c r="H6" s="5" t="s">
        <v>13</v>
      </c>
      <c r="I6" s="5">
        <v>11.76</v>
      </c>
      <c r="K6" s="6">
        <v>2210.9</v>
      </c>
      <c r="M6" s="5">
        <v>0.55000000000000004</v>
      </c>
      <c r="N6" s="5">
        <v>2.0499999999999998</v>
      </c>
    </row>
    <row r="7" spans="1:14" ht="14.25" customHeight="1" x14ac:dyDescent="0.35">
      <c r="A7" s="4" t="s">
        <v>17</v>
      </c>
      <c r="B7" s="5">
        <v>-0.56000000000000005</v>
      </c>
      <c r="C7" s="5">
        <v>2.02</v>
      </c>
      <c r="D7" s="5">
        <v>7.98</v>
      </c>
      <c r="E7" s="5">
        <v>12.49</v>
      </c>
      <c r="F7" s="5">
        <v>13.87</v>
      </c>
      <c r="G7" s="5">
        <v>27.16</v>
      </c>
      <c r="H7" s="5">
        <v>20.29</v>
      </c>
      <c r="I7" s="5">
        <v>30.75</v>
      </c>
      <c r="K7" s="6">
        <v>28466.18</v>
      </c>
      <c r="M7" s="5">
        <v>0.51</v>
      </c>
      <c r="N7" s="5">
        <v>1.64</v>
      </c>
    </row>
    <row r="8" spans="1:14" ht="14.25" customHeight="1" x14ac:dyDescent="0.35">
      <c r="A8" s="4" t="s">
        <v>18</v>
      </c>
      <c r="B8" s="5">
        <v>1.04</v>
      </c>
      <c r="C8" s="5">
        <v>5.31</v>
      </c>
      <c r="D8" s="5">
        <v>17.04</v>
      </c>
      <c r="E8" s="5">
        <v>30.97</v>
      </c>
      <c r="F8" s="5">
        <v>29.29</v>
      </c>
      <c r="G8" s="5">
        <v>24.04</v>
      </c>
      <c r="H8" s="5">
        <v>21.19</v>
      </c>
      <c r="I8" s="5">
        <v>27.72</v>
      </c>
      <c r="K8" s="6">
        <v>2572.4</v>
      </c>
      <c r="M8" s="5">
        <v>0.51</v>
      </c>
      <c r="N8" s="5">
        <v>1.95</v>
      </c>
    </row>
    <row r="9" spans="1:14" ht="14.25" customHeight="1" x14ac:dyDescent="0.35">
      <c r="A9" s="4" t="s">
        <v>19</v>
      </c>
      <c r="B9" s="5">
        <v>-0.39</v>
      </c>
      <c r="C9" s="5">
        <v>1.65</v>
      </c>
      <c r="D9" s="5">
        <v>6</v>
      </c>
      <c r="E9" s="5">
        <v>12.74</v>
      </c>
      <c r="F9" s="5">
        <v>12.94</v>
      </c>
      <c r="G9" s="5" t="s">
        <v>13</v>
      </c>
      <c r="H9" s="5" t="s">
        <v>13</v>
      </c>
      <c r="I9" s="5">
        <v>14.8</v>
      </c>
      <c r="K9" s="6">
        <v>1258.55</v>
      </c>
      <c r="M9" s="5">
        <v>0.95</v>
      </c>
      <c r="N9" s="5">
        <v>2.1800000000000002</v>
      </c>
    </row>
    <row r="10" spans="1:14" ht="14.25" customHeight="1" x14ac:dyDescent="0.35">
      <c r="A10" s="4" t="s">
        <v>20</v>
      </c>
      <c r="B10" s="5">
        <v>0.52</v>
      </c>
      <c r="C10" s="5">
        <v>2.52</v>
      </c>
      <c r="D10" s="5">
        <v>7.98</v>
      </c>
      <c r="E10" s="5">
        <v>10.5</v>
      </c>
      <c r="F10" s="5">
        <v>10.14</v>
      </c>
      <c r="G10" s="5">
        <v>15.21</v>
      </c>
      <c r="H10" s="5">
        <v>17.170000000000002</v>
      </c>
      <c r="I10" s="5">
        <v>22.67</v>
      </c>
      <c r="K10" s="6">
        <v>13967.05</v>
      </c>
      <c r="M10" s="5">
        <v>0.56000000000000005</v>
      </c>
      <c r="N10" s="5">
        <v>1.71</v>
      </c>
    </row>
    <row r="11" spans="1:14" ht="14.25" customHeight="1" x14ac:dyDescent="0.35">
      <c r="A11" s="4" t="s">
        <v>21</v>
      </c>
      <c r="B11" s="5">
        <v>1.36</v>
      </c>
      <c r="C11" s="5">
        <v>3.29</v>
      </c>
      <c r="D11" s="5">
        <v>14.01</v>
      </c>
      <c r="E11" s="5">
        <v>17.850000000000001</v>
      </c>
      <c r="F11" s="5">
        <v>20.97</v>
      </c>
      <c r="G11" s="5">
        <v>19.32</v>
      </c>
      <c r="H11" s="5">
        <v>19</v>
      </c>
      <c r="I11" s="5">
        <v>21.64</v>
      </c>
      <c r="K11" s="6">
        <v>19634.900000000001</v>
      </c>
      <c r="M11" s="5">
        <v>0.8</v>
      </c>
      <c r="N11" s="5">
        <v>1.71</v>
      </c>
    </row>
    <row r="12" spans="1:14" ht="14.25" customHeight="1" x14ac:dyDescent="0.35">
      <c r="A12" s="4" t="s">
        <v>22</v>
      </c>
      <c r="B12" s="5">
        <v>0.45</v>
      </c>
      <c r="C12" s="5">
        <v>2.81</v>
      </c>
      <c r="D12" s="5">
        <v>9.26</v>
      </c>
      <c r="E12" s="5">
        <v>13.12</v>
      </c>
      <c r="F12" s="5">
        <v>13.78</v>
      </c>
      <c r="G12" s="5">
        <v>18.36</v>
      </c>
      <c r="H12" s="5">
        <v>18.91</v>
      </c>
      <c r="I12" s="5">
        <v>25.18</v>
      </c>
      <c r="K12" s="6">
        <v>6579.72</v>
      </c>
      <c r="M12" s="5">
        <v>0.47</v>
      </c>
      <c r="N12" s="5">
        <v>1.83</v>
      </c>
    </row>
    <row r="13" spans="1:14" ht="14.25" customHeight="1" x14ac:dyDescent="0.35">
      <c r="A13" s="4" t="s">
        <v>23</v>
      </c>
      <c r="B13" s="5">
        <v>0.15</v>
      </c>
      <c r="C13" s="5">
        <v>1.24</v>
      </c>
      <c r="D13" s="5">
        <v>6.89</v>
      </c>
      <c r="E13" s="5">
        <v>11.23</v>
      </c>
      <c r="F13" s="5">
        <v>10.029999999999999</v>
      </c>
      <c r="G13" s="5">
        <v>15.78</v>
      </c>
      <c r="H13" s="5">
        <v>17.84</v>
      </c>
      <c r="I13" s="5">
        <v>20.010000000000002</v>
      </c>
      <c r="K13" s="6">
        <v>14336.42</v>
      </c>
      <c r="M13" s="5">
        <v>0.96</v>
      </c>
      <c r="N13" s="5">
        <v>1.78</v>
      </c>
    </row>
    <row r="14" spans="1:14" ht="14.25" customHeight="1" x14ac:dyDescent="0.35">
      <c r="A14" s="4" t="s">
        <v>24</v>
      </c>
      <c r="B14" s="5">
        <v>1.33</v>
      </c>
      <c r="C14" s="5">
        <v>4.8600000000000003</v>
      </c>
      <c r="D14" s="5">
        <v>15.57</v>
      </c>
      <c r="E14" s="5">
        <v>24.07</v>
      </c>
      <c r="F14" s="5" t="s">
        <v>13</v>
      </c>
      <c r="G14" s="5" t="s">
        <v>13</v>
      </c>
      <c r="H14" s="5" t="s">
        <v>13</v>
      </c>
      <c r="I14" s="5">
        <v>25.64</v>
      </c>
      <c r="K14" s="6">
        <v>439.7</v>
      </c>
      <c r="M14" s="5">
        <v>0.52</v>
      </c>
      <c r="N14" s="5">
        <v>2.3199999999999998</v>
      </c>
    </row>
    <row r="15" spans="1:14" ht="14.25" customHeight="1" x14ac:dyDescent="0.35">
      <c r="A15" s="4" t="s">
        <v>25</v>
      </c>
      <c r="B15" s="5">
        <v>-0.85</v>
      </c>
      <c r="C15" s="5">
        <v>1.68</v>
      </c>
      <c r="D15" s="5">
        <v>7.52</v>
      </c>
      <c r="E15" s="5">
        <v>5.27</v>
      </c>
      <c r="F15" s="5">
        <v>2.84</v>
      </c>
      <c r="G15" s="5">
        <v>13.49</v>
      </c>
      <c r="H15" s="5">
        <v>16.29</v>
      </c>
      <c r="I15" s="5">
        <v>18.59</v>
      </c>
      <c r="K15" s="6">
        <v>40416.800000000003</v>
      </c>
      <c r="M15" s="5">
        <v>0.8</v>
      </c>
      <c r="N15" s="5">
        <v>1.57</v>
      </c>
    </row>
    <row r="16" spans="1:14" ht="14.25" customHeight="1" x14ac:dyDescent="0.35">
      <c r="A16" s="4" t="s">
        <v>26</v>
      </c>
      <c r="B16" s="5">
        <v>0.61</v>
      </c>
      <c r="C16" s="5">
        <v>3.51</v>
      </c>
      <c r="D16" s="5">
        <v>14.31</v>
      </c>
      <c r="E16" s="5">
        <v>22.09</v>
      </c>
      <c r="F16" s="5" t="s">
        <v>13</v>
      </c>
      <c r="G16" s="5" t="s">
        <v>13</v>
      </c>
      <c r="H16" s="5" t="s">
        <v>13</v>
      </c>
      <c r="I16" s="5">
        <v>15</v>
      </c>
      <c r="K16" s="6">
        <v>1242.7</v>
      </c>
      <c r="M16" s="5">
        <v>0.7</v>
      </c>
      <c r="N16" s="5">
        <v>2.31</v>
      </c>
    </row>
    <row r="17" spans="1:14" ht="14.25" customHeight="1" x14ac:dyDescent="0.35">
      <c r="A17" s="4" t="s">
        <v>27</v>
      </c>
      <c r="B17" s="5">
        <v>0.86</v>
      </c>
      <c r="C17" s="5">
        <v>3.53</v>
      </c>
      <c r="D17" s="5">
        <v>10.36</v>
      </c>
      <c r="E17" s="5">
        <v>18.420000000000002</v>
      </c>
      <c r="F17" s="5">
        <v>15.1</v>
      </c>
      <c r="G17" s="5">
        <v>17.07</v>
      </c>
      <c r="H17" s="5">
        <v>18.89</v>
      </c>
      <c r="I17" s="5">
        <v>20.73</v>
      </c>
      <c r="K17" s="6">
        <v>17830.2</v>
      </c>
      <c r="M17" s="5">
        <v>0.77</v>
      </c>
      <c r="N17" s="5">
        <v>1.72</v>
      </c>
    </row>
    <row r="18" spans="1:14" ht="14.25" customHeight="1" x14ac:dyDescent="0.35">
      <c r="A18" s="4" t="s">
        <v>28</v>
      </c>
      <c r="B18" s="5">
        <v>0.14000000000000001</v>
      </c>
      <c r="C18" s="5">
        <v>3.74</v>
      </c>
      <c r="D18" s="5">
        <v>8.32</v>
      </c>
      <c r="E18" s="5">
        <v>9.2100000000000009</v>
      </c>
      <c r="F18" s="5">
        <v>7.31</v>
      </c>
      <c r="G18" s="5">
        <v>13.8</v>
      </c>
      <c r="H18" s="5">
        <v>15.62</v>
      </c>
      <c r="I18" s="5">
        <v>16.97</v>
      </c>
      <c r="K18" s="6">
        <v>9378.7999999999993</v>
      </c>
      <c r="M18" s="5">
        <v>0.81</v>
      </c>
      <c r="N18" s="5">
        <v>1.82</v>
      </c>
    </row>
    <row r="19" spans="1:14" ht="14.25" customHeight="1" x14ac:dyDescent="0.35">
      <c r="A19" s="4" t="s">
        <v>29</v>
      </c>
      <c r="B19" s="5">
        <v>-0.18</v>
      </c>
      <c r="C19" s="5">
        <v>2.74</v>
      </c>
      <c r="D19" s="5">
        <v>13.53</v>
      </c>
      <c r="E19" s="5">
        <v>16.45</v>
      </c>
      <c r="F19" s="5">
        <v>17.53</v>
      </c>
      <c r="G19" s="5">
        <v>24.87</v>
      </c>
      <c r="H19" s="5">
        <v>21.06</v>
      </c>
      <c r="I19" s="5">
        <v>24.17</v>
      </c>
      <c r="K19" s="6">
        <v>13384.88</v>
      </c>
      <c r="M19" s="5">
        <v>0.52</v>
      </c>
      <c r="N19" s="5">
        <v>1.73</v>
      </c>
    </row>
    <row r="20" spans="1:14" ht="14.25" customHeight="1" x14ac:dyDescent="0.35">
      <c r="A20" s="4" t="s">
        <v>30</v>
      </c>
      <c r="B20" s="5">
        <v>1.06</v>
      </c>
      <c r="C20" s="5">
        <v>3.86</v>
      </c>
      <c r="D20" s="5">
        <v>14.1</v>
      </c>
      <c r="E20" s="5">
        <v>24.94</v>
      </c>
      <c r="F20" s="5">
        <v>22.24</v>
      </c>
      <c r="G20" s="5">
        <v>26.83</v>
      </c>
      <c r="H20" s="5">
        <v>19.39</v>
      </c>
      <c r="I20" s="5">
        <v>22.86</v>
      </c>
      <c r="K20" s="6">
        <v>3321.83</v>
      </c>
      <c r="M20" s="5">
        <v>0.39</v>
      </c>
      <c r="N20" s="5">
        <v>1.88</v>
      </c>
    </row>
    <row r="21" spans="1:14" ht="14.25" customHeight="1" x14ac:dyDescent="0.35">
      <c r="A21" s="4" t="s">
        <v>31</v>
      </c>
      <c r="B21" s="5">
        <v>0.66</v>
      </c>
      <c r="C21" s="5">
        <v>2</v>
      </c>
      <c r="D21" s="5">
        <v>13.88</v>
      </c>
      <c r="E21" s="5">
        <v>23.72</v>
      </c>
      <c r="F21" s="5">
        <v>22.11</v>
      </c>
      <c r="G21" s="5" t="s">
        <v>13</v>
      </c>
      <c r="H21" s="5" t="s">
        <v>13</v>
      </c>
      <c r="I21" s="5">
        <v>8.73</v>
      </c>
      <c r="K21" s="6">
        <v>809.39</v>
      </c>
      <c r="M21" s="5">
        <v>0.79</v>
      </c>
      <c r="N21" s="5">
        <v>2.37</v>
      </c>
    </row>
    <row r="22" spans="1:14" ht="14.25" customHeight="1" x14ac:dyDescent="0.35">
      <c r="A22" s="4" t="s">
        <v>32</v>
      </c>
      <c r="B22" s="5">
        <v>0.4</v>
      </c>
      <c r="C22" s="5">
        <v>3</v>
      </c>
      <c r="D22" s="5">
        <v>9.23</v>
      </c>
      <c r="E22" s="5">
        <v>12.94</v>
      </c>
      <c r="F22" s="5">
        <v>9</v>
      </c>
      <c r="G22" s="5">
        <v>14.27</v>
      </c>
      <c r="H22" s="5">
        <v>14.61</v>
      </c>
      <c r="I22" s="5">
        <v>19.07</v>
      </c>
      <c r="K22" s="6">
        <v>18690.79</v>
      </c>
      <c r="M22" s="5">
        <v>0.55000000000000004</v>
      </c>
      <c r="N22" s="5">
        <v>1.68</v>
      </c>
    </row>
    <row r="23" spans="1:14" ht="14.25" customHeight="1" x14ac:dyDescent="0.35">
      <c r="A23" s="4" t="s">
        <v>33</v>
      </c>
      <c r="B23" s="5">
        <v>1.1399999999999999</v>
      </c>
      <c r="C23" s="5">
        <v>3.81</v>
      </c>
      <c r="D23" s="5">
        <v>12</v>
      </c>
      <c r="E23" s="5">
        <v>21.43</v>
      </c>
      <c r="F23" s="5">
        <v>20.87</v>
      </c>
      <c r="G23" s="5">
        <v>20.49</v>
      </c>
      <c r="H23" s="5">
        <v>19.38</v>
      </c>
      <c r="I23" s="5">
        <v>16.170000000000002</v>
      </c>
      <c r="K23" s="6">
        <v>743.33</v>
      </c>
      <c r="M23" s="5">
        <v>1.05</v>
      </c>
      <c r="N23" s="5">
        <v>2.41</v>
      </c>
    </row>
    <row r="24" spans="1:14" ht="14.25" customHeight="1" x14ac:dyDescent="0.35">
      <c r="A24" s="4" t="s">
        <v>34</v>
      </c>
      <c r="B24" s="5">
        <v>0.85</v>
      </c>
      <c r="C24" s="5">
        <v>3.66</v>
      </c>
      <c r="D24" s="5">
        <v>12.26</v>
      </c>
      <c r="E24" s="5">
        <v>19.559999999999999</v>
      </c>
      <c r="F24" s="5">
        <v>19.559999999999999</v>
      </c>
      <c r="G24" s="5">
        <v>22.53</v>
      </c>
      <c r="H24" s="5" t="s">
        <v>13</v>
      </c>
      <c r="I24" s="5">
        <v>26.14</v>
      </c>
      <c r="K24" s="6">
        <v>4930.3599999999997</v>
      </c>
      <c r="M24" s="5">
        <v>0.53</v>
      </c>
      <c r="N24" s="5">
        <v>1.86</v>
      </c>
    </row>
    <row r="25" spans="1:14" ht="14.25" customHeight="1" x14ac:dyDescent="0.35">
      <c r="A25" s="4" t="s">
        <v>35</v>
      </c>
      <c r="B25" s="5">
        <v>-0.3</v>
      </c>
      <c r="C25" s="5">
        <v>2.6</v>
      </c>
      <c r="D25" s="5">
        <v>8.99</v>
      </c>
      <c r="E25" s="5">
        <v>11.11</v>
      </c>
      <c r="F25" s="5">
        <v>13.2</v>
      </c>
      <c r="G25" s="5" t="s">
        <v>13</v>
      </c>
      <c r="H25" s="5" t="s">
        <v>13</v>
      </c>
      <c r="I25" s="5">
        <v>17.239999999999998</v>
      </c>
      <c r="K25" s="6">
        <v>4842.22</v>
      </c>
      <c r="M25" s="5">
        <v>0.3</v>
      </c>
      <c r="N25" s="5">
        <v>1.85</v>
      </c>
    </row>
    <row r="26" spans="1:14" ht="14.25" customHeight="1" x14ac:dyDescent="0.35">
      <c r="A26" s="4" t="s">
        <v>36</v>
      </c>
      <c r="B26" s="5">
        <v>-0.17</v>
      </c>
      <c r="C26" s="5">
        <v>3.84</v>
      </c>
      <c r="D26" s="5">
        <v>16.23</v>
      </c>
      <c r="E26" s="5">
        <v>24.89</v>
      </c>
      <c r="F26" s="5">
        <v>25.64</v>
      </c>
      <c r="G26" s="5" t="s">
        <v>13</v>
      </c>
      <c r="H26" s="5" t="s">
        <v>13</v>
      </c>
      <c r="I26" s="5">
        <v>23.68</v>
      </c>
      <c r="K26" s="6">
        <v>7179.39</v>
      </c>
      <c r="M26" s="5">
        <v>0.81</v>
      </c>
      <c r="N26" s="5">
        <v>1.86</v>
      </c>
    </row>
    <row r="27" spans="1:14" ht="14.25" customHeight="1" x14ac:dyDescent="0.35">
      <c r="A27" s="4" t="s">
        <v>37</v>
      </c>
      <c r="B27" s="5">
        <v>0.44</v>
      </c>
      <c r="C27" s="5">
        <v>2.67</v>
      </c>
      <c r="D27" s="5">
        <v>8.1199999999999992</v>
      </c>
      <c r="E27" s="5">
        <v>14.17</v>
      </c>
      <c r="F27" s="5">
        <v>12.85</v>
      </c>
      <c r="G27" s="5">
        <v>17.78</v>
      </c>
      <c r="H27" s="5">
        <v>20.23</v>
      </c>
      <c r="I27" s="5">
        <v>24.22</v>
      </c>
      <c r="K27" s="6">
        <v>78407.03</v>
      </c>
      <c r="M27" s="5">
        <v>0.67</v>
      </c>
      <c r="N27" s="5">
        <v>1.42</v>
      </c>
    </row>
    <row r="28" spans="1:14" ht="14.25" customHeight="1" x14ac:dyDescent="0.35">
      <c r="A28" s="4" t="s">
        <v>38</v>
      </c>
      <c r="B28" s="5">
        <v>1.1100000000000001</v>
      </c>
      <c r="C28" s="5">
        <v>5.47</v>
      </c>
      <c r="D28" s="5">
        <v>12.77</v>
      </c>
      <c r="E28" s="5">
        <v>19.46</v>
      </c>
      <c r="F28" s="5">
        <v>15.84</v>
      </c>
      <c r="G28" s="5">
        <v>18.04</v>
      </c>
      <c r="H28" s="5">
        <v>14.9</v>
      </c>
      <c r="I28" s="5">
        <v>14.77</v>
      </c>
      <c r="K28" s="6">
        <v>1649.96</v>
      </c>
      <c r="M28" s="5">
        <v>0.61</v>
      </c>
      <c r="N28" s="5">
        <v>2.11</v>
      </c>
    </row>
    <row r="29" spans="1:14" ht="14.25" customHeight="1" x14ac:dyDescent="0.35">
      <c r="A29" s="4" t="s">
        <v>39</v>
      </c>
      <c r="B29" s="5">
        <v>-0.72</v>
      </c>
      <c r="C29" s="5">
        <v>-0.27</v>
      </c>
      <c r="D29" s="5">
        <v>9.1999999999999993</v>
      </c>
      <c r="E29" s="5">
        <v>19.010000000000002</v>
      </c>
      <c r="F29" s="5">
        <v>15.77</v>
      </c>
      <c r="G29" s="5">
        <v>18.899999999999999</v>
      </c>
      <c r="H29" s="5">
        <v>19.82</v>
      </c>
      <c r="I29" s="5">
        <v>17.7</v>
      </c>
      <c r="K29" s="6">
        <v>33739.040000000001</v>
      </c>
      <c r="M29" s="5">
        <v>0.83</v>
      </c>
      <c r="N29" s="5">
        <v>1.66</v>
      </c>
    </row>
    <row r="30" spans="1:14" ht="14.25" customHeight="1" x14ac:dyDescent="0.35">
      <c r="A30" s="4" t="s">
        <v>40</v>
      </c>
      <c r="B30" s="5">
        <v>0.14000000000000001</v>
      </c>
      <c r="C30" s="5">
        <v>1.86</v>
      </c>
      <c r="D30" s="5">
        <v>10.88</v>
      </c>
      <c r="E30" s="5">
        <v>10.65</v>
      </c>
      <c r="F30" s="5">
        <v>13.16</v>
      </c>
      <c r="G30" s="5" t="s">
        <v>13</v>
      </c>
      <c r="H30" s="5" t="s">
        <v>13</v>
      </c>
      <c r="I30" s="5">
        <v>13.64</v>
      </c>
      <c r="K30" s="6">
        <v>242.6</v>
      </c>
      <c r="M30" s="5">
        <v>0.7</v>
      </c>
      <c r="N30" s="5">
        <v>2.17</v>
      </c>
    </row>
    <row r="31" spans="1:14" ht="14.25" customHeight="1" x14ac:dyDescent="0.35">
      <c r="A31" s="4" t="s">
        <v>41</v>
      </c>
      <c r="B31" s="5">
        <v>1.04</v>
      </c>
      <c r="C31" s="5">
        <v>8.26</v>
      </c>
      <c r="D31" s="5">
        <v>13.19</v>
      </c>
      <c r="E31" s="5">
        <v>19.100000000000001</v>
      </c>
      <c r="F31" s="5" t="s">
        <v>13</v>
      </c>
      <c r="G31" s="5" t="s">
        <v>13</v>
      </c>
      <c r="H31" s="5" t="s">
        <v>13</v>
      </c>
      <c r="I31" s="5">
        <v>16.7</v>
      </c>
      <c r="K31" s="6">
        <v>158.97</v>
      </c>
      <c r="M31" s="5">
        <v>0.85</v>
      </c>
      <c r="N31" s="5">
        <v>2.4</v>
      </c>
    </row>
    <row r="32" spans="1:14" ht="14.25" customHeight="1" x14ac:dyDescent="0.35">
      <c r="A32" s="4" t="s">
        <v>42</v>
      </c>
      <c r="B32" s="5">
        <v>1.1000000000000001</v>
      </c>
      <c r="C32" s="5">
        <v>3.38</v>
      </c>
      <c r="D32" s="5">
        <v>12.88</v>
      </c>
      <c r="E32" s="5">
        <v>14.42</v>
      </c>
      <c r="F32" s="5">
        <v>10.85</v>
      </c>
      <c r="G32" s="5">
        <v>13.82</v>
      </c>
      <c r="H32" s="5">
        <v>15.75</v>
      </c>
      <c r="I32" s="5">
        <v>22.94</v>
      </c>
      <c r="K32" s="6">
        <v>40156.660000000003</v>
      </c>
      <c r="M32" s="5">
        <v>0.79</v>
      </c>
      <c r="N32" s="5">
        <v>1.6</v>
      </c>
    </row>
    <row r="33" spans="1:14" ht="14.25" customHeight="1" x14ac:dyDescent="0.35">
      <c r="A33" s="4" t="s">
        <v>43</v>
      </c>
      <c r="B33" s="5">
        <v>0.2</v>
      </c>
      <c r="C33" s="5">
        <v>2.6</v>
      </c>
      <c r="D33" s="5">
        <v>8.93</v>
      </c>
      <c r="E33" s="5">
        <v>16.73</v>
      </c>
      <c r="F33" s="5">
        <v>19.66</v>
      </c>
      <c r="G33" s="5">
        <v>19.43</v>
      </c>
      <c r="H33" s="5">
        <v>18.21</v>
      </c>
      <c r="I33" s="5">
        <v>18.11</v>
      </c>
      <c r="K33" s="6">
        <v>3871.8</v>
      </c>
      <c r="M33" s="5">
        <v>0.86</v>
      </c>
      <c r="N33" s="5">
        <v>1.97</v>
      </c>
    </row>
    <row r="34" spans="1:14" ht="14.25" customHeight="1" x14ac:dyDescent="0.35">
      <c r="A34" s="4" t="s">
        <v>44</v>
      </c>
      <c r="B34" s="5">
        <v>-0.27</v>
      </c>
      <c r="C34" s="5">
        <v>1.89</v>
      </c>
      <c r="D34" s="5">
        <v>11.16</v>
      </c>
      <c r="E34" s="5">
        <v>11.9</v>
      </c>
      <c r="F34" s="5">
        <v>0.65</v>
      </c>
      <c r="G34" s="5">
        <v>13.37</v>
      </c>
      <c r="H34" s="5">
        <v>15.47</v>
      </c>
      <c r="I34" s="5">
        <v>21.2</v>
      </c>
      <c r="K34" s="6">
        <v>12528.86</v>
      </c>
      <c r="M34" s="5">
        <v>0.4</v>
      </c>
      <c r="N34" s="5">
        <v>1.68</v>
      </c>
    </row>
    <row r="35" spans="1:14" ht="14.25" customHeight="1" x14ac:dyDescent="0.35">
      <c r="A35" s="4" t="s">
        <v>45</v>
      </c>
      <c r="B35" s="5">
        <v>0.04</v>
      </c>
      <c r="C35" s="5">
        <v>3.07</v>
      </c>
      <c r="D35" s="5">
        <v>9.41</v>
      </c>
      <c r="E35" s="5" t="s">
        <v>13</v>
      </c>
      <c r="F35" s="5" t="s">
        <v>13</v>
      </c>
      <c r="G35" s="5" t="s">
        <v>13</v>
      </c>
      <c r="H35" s="5" t="s">
        <v>13</v>
      </c>
      <c r="I35" s="5">
        <v>18.170000000000002</v>
      </c>
      <c r="K35" s="6">
        <v>87.8</v>
      </c>
      <c r="M35" s="5">
        <v>0.35</v>
      </c>
      <c r="N35" s="5">
        <v>2.1</v>
      </c>
    </row>
    <row r="36" spans="1:14" ht="14.25" customHeight="1" x14ac:dyDescent="0.35">
      <c r="A36" s="4" t="s">
        <v>46</v>
      </c>
      <c r="B36" s="5">
        <v>0.96</v>
      </c>
      <c r="C36" s="5">
        <v>3.48</v>
      </c>
      <c r="D36" s="5">
        <v>14.96</v>
      </c>
      <c r="E36" s="5">
        <v>27.58</v>
      </c>
      <c r="F36" s="5">
        <v>33.99</v>
      </c>
      <c r="G36" s="5" t="s">
        <v>13</v>
      </c>
      <c r="H36" s="5" t="s">
        <v>13</v>
      </c>
      <c r="I36" s="5">
        <v>19.3</v>
      </c>
      <c r="K36" s="6">
        <v>2476.0300000000002</v>
      </c>
      <c r="M36" s="5">
        <v>0.47</v>
      </c>
      <c r="N36" s="5">
        <v>2.08</v>
      </c>
    </row>
    <row r="37" spans="1:14" ht="14.25" customHeight="1" x14ac:dyDescent="0.35">
      <c r="A37" s="4" t="s">
        <v>47</v>
      </c>
      <c r="B37" s="5">
        <v>1.49</v>
      </c>
      <c r="C37" s="5">
        <v>4.91</v>
      </c>
      <c r="D37" s="5">
        <v>12.51</v>
      </c>
      <c r="E37" s="5">
        <v>22.95</v>
      </c>
      <c r="F37" s="5">
        <v>26.23</v>
      </c>
      <c r="G37" s="5">
        <v>19.88</v>
      </c>
      <c r="H37" s="5">
        <v>18.64</v>
      </c>
      <c r="I37" s="5">
        <v>16.88</v>
      </c>
      <c r="K37" s="6">
        <v>2267.79</v>
      </c>
      <c r="M37" s="5">
        <v>1.08</v>
      </c>
      <c r="N37" s="5">
        <v>2.15</v>
      </c>
    </row>
    <row r="38" spans="1:14" ht="14.25" customHeight="1" x14ac:dyDescent="0.35">
      <c r="A38" s="4" t="s">
        <v>48</v>
      </c>
      <c r="B38" s="5">
        <v>0.69</v>
      </c>
      <c r="C38" s="5">
        <v>1.79</v>
      </c>
      <c r="D38" s="5">
        <v>8.15</v>
      </c>
      <c r="E38" s="5">
        <v>14.34</v>
      </c>
      <c r="F38" s="5">
        <v>10.14</v>
      </c>
      <c r="G38" s="5">
        <v>16.89</v>
      </c>
      <c r="H38" s="5">
        <v>17.010000000000002</v>
      </c>
      <c r="I38" s="5">
        <v>21.68</v>
      </c>
      <c r="K38" s="6">
        <v>5213.42</v>
      </c>
      <c r="M38" s="5">
        <v>0.65</v>
      </c>
      <c r="N38" s="5">
        <v>1.86</v>
      </c>
    </row>
    <row r="39" spans="1:14" ht="14.25" customHeight="1" x14ac:dyDescent="0.35">
      <c r="A39" s="7" t="s">
        <v>49</v>
      </c>
      <c r="B39" s="8">
        <f>MEDIAN(B3:B38)</f>
        <v>0.48499999999999999</v>
      </c>
      <c r="C39" s="8">
        <f t="shared" ref="C39:I39" si="0">MEDIAN(C3:C38)</f>
        <v>3.0949999999999998</v>
      </c>
      <c r="D39" s="8">
        <f t="shared" si="0"/>
        <v>11.58</v>
      </c>
      <c r="E39" s="8">
        <f t="shared" si="0"/>
        <v>17.29</v>
      </c>
      <c r="F39" s="8">
        <f t="shared" si="0"/>
        <v>15.1</v>
      </c>
      <c r="G39" s="8">
        <f t="shared" si="0"/>
        <v>17.91</v>
      </c>
      <c r="H39" s="8">
        <f>MEDIAN(H3:H38)</f>
        <v>18.21</v>
      </c>
      <c r="I39" s="8">
        <f t="shared" si="0"/>
        <v>19.655000000000001</v>
      </c>
    </row>
    <row r="40" spans="1:14" ht="14.25" customHeight="1" x14ac:dyDescent="0.35">
      <c r="A40" s="2" t="s">
        <v>50</v>
      </c>
      <c r="B40" s="5" t="s">
        <v>13</v>
      </c>
      <c r="C40" s="5" t="s">
        <v>13</v>
      </c>
      <c r="D40" s="5" t="s">
        <v>13</v>
      </c>
      <c r="E40" s="5" t="s">
        <v>13</v>
      </c>
      <c r="F40" s="5" t="s">
        <v>13</v>
      </c>
      <c r="G40" s="5" t="s">
        <v>13</v>
      </c>
      <c r="H40" s="5" t="s">
        <v>13</v>
      </c>
      <c r="I40" s="5" t="s">
        <v>13</v>
      </c>
    </row>
    <row r="41" spans="1:14" ht="14.25" customHeight="1" x14ac:dyDescent="0.35">
      <c r="A41" s="4" t="s">
        <v>51</v>
      </c>
      <c r="B41" s="5">
        <v>-0.42</v>
      </c>
      <c r="C41" s="5">
        <v>1.69</v>
      </c>
      <c r="D41" s="5">
        <v>8.8699999999999992</v>
      </c>
      <c r="E41" s="5">
        <v>14.25</v>
      </c>
      <c r="F41" s="5">
        <v>9.74</v>
      </c>
      <c r="G41" s="5">
        <v>17.36</v>
      </c>
      <c r="H41" s="5">
        <v>15.56</v>
      </c>
      <c r="I41" s="5"/>
    </row>
    <row r="42" spans="1:14" ht="14.25" customHeight="1" x14ac:dyDescent="0.35">
      <c r="A42" s="4" t="s">
        <v>52</v>
      </c>
      <c r="B42" s="5">
        <v>-0.39</v>
      </c>
      <c r="C42" s="5">
        <v>1.87</v>
      </c>
      <c r="D42" s="5">
        <v>9.1999999999999993</v>
      </c>
      <c r="E42" s="5">
        <v>14.64</v>
      </c>
      <c r="F42" s="5">
        <v>10.37</v>
      </c>
      <c r="G42" s="5">
        <v>18.079999999999998</v>
      </c>
      <c r="H42" s="5">
        <v>16.41</v>
      </c>
      <c r="I42" s="5"/>
    </row>
  </sheetData>
  <mergeCells count="1">
    <mergeCell ref="M1:N1"/>
  </mergeCells>
  <conditionalFormatting sqref="F3:F38">
    <cfRule type="expression" dxfId="77" priority="2">
      <formula>AND(ISNUMBER(F3),F3&gt;MEDIAN($F$3:$F$38))</formula>
    </cfRule>
  </conditionalFormatting>
  <conditionalFormatting sqref="G3:G38">
    <cfRule type="expression" dxfId="76" priority="3">
      <formula>AND(ISNUMBER(G3),G3&gt;MEDIAN($G$3:$G$38))</formula>
    </cfRule>
  </conditionalFormatting>
  <conditionalFormatting sqref="H3:H38">
    <cfRule type="expression" dxfId="75" priority="4">
      <formula>AND(ISNUMBER(H3),H3&gt;MEDIAN($H$3:$H$38))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zoomScale="70" zoomScaleNormal="70" workbookViewId="0">
      <selection activeCell="P22" sqref="P22"/>
    </sheetView>
  </sheetViews>
  <sheetFormatPr defaultColWidth="8.54296875" defaultRowHeight="14.5" x14ac:dyDescent="0.35"/>
  <cols>
    <col min="1" max="1" width="54.26953125" customWidth="1"/>
    <col min="2" max="2" width="6.7265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08984375" customWidth="1"/>
    <col min="11" max="11" width="12.90625" customWidth="1"/>
    <col min="12" max="12" width="2.26953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53</v>
      </c>
      <c r="B3" s="5">
        <v>0.66</v>
      </c>
      <c r="C3" s="5">
        <v>3.35</v>
      </c>
      <c r="D3" s="5">
        <v>8.15</v>
      </c>
      <c r="E3" s="5">
        <v>9.76</v>
      </c>
      <c r="F3" s="5">
        <v>12.43</v>
      </c>
      <c r="G3" s="5">
        <v>18.329999999999998</v>
      </c>
      <c r="H3" s="5">
        <v>15.97</v>
      </c>
      <c r="I3" s="5">
        <v>16.579999999999998</v>
      </c>
      <c r="K3" s="6">
        <v>6624.16</v>
      </c>
      <c r="M3" s="5">
        <v>1.02</v>
      </c>
      <c r="N3" s="5">
        <v>1.87</v>
      </c>
    </row>
    <row r="4" spans="1:14" ht="14.25" customHeight="1" x14ac:dyDescent="0.35">
      <c r="A4" s="4" t="s">
        <v>54</v>
      </c>
      <c r="B4" s="5">
        <v>0.22</v>
      </c>
      <c r="C4" s="5">
        <v>2.35</v>
      </c>
      <c r="D4" s="5">
        <v>6.75</v>
      </c>
      <c r="E4" s="5">
        <v>9.1199999999999992</v>
      </c>
      <c r="F4" s="5">
        <v>10.47</v>
      </c>
      <c r="G4" s="5">
        <v>18.64</v>
      </c>
      <c r="H4" s="5">
        <v>15.11</v>
      </c>
      <c r="I4" s="5">
        <v>18.850000000000001</v>
      </c>
      <c r="K4" s="6">
        <v>33803</v>
      </c>
      <c r="M4" s="5">
        <v>0.54</v>
      </c>
      <c r="N4" s="5">
        <v>1.58</v>
      </c>
    </row>
    <row r="5" spans="1:14" ht="14.25" customHeight="1" x14ac:dyDescent="0.35">
      <c r="A5" s="4" t="s">
        <v>55</v>
      </c>
      <c r="B5" s="5">
        <v>0.94</v>
      </c>
      <c r="C5" s="5">
        <v>3.65</v>
      </c>
      <c r="D5" s="5">
        <v>9.84</v>
      </c>
      <c r="E5" s="5">
        <v>13.29</v>
      </c>
      <c r="F5" s="5">
        <v>13.52</v>
      </c>
      <c r="G5" s="5">
        <v>20.62</v>
      </c>
      <c r="H5" s="5" t="s">
        <v>13</v>
      </c>
      <c r="I5" s="5">
        <v>19.7</v>
      </c>
      <c r="K5" s="6">
        <v>2324.6999999999998</v>
      </c>
      <c r="M5" s="5">
        <v>0.67</v>
      </c>
      <c r="N5" s="5">
        <v>2.0699999999999998</v>
      </c>
    </row>
    <row r="6" spans="1:14" ht="14.25" customHeight="1" x14ac:dyDescent="0.35">
      <c r="A6" s="4" t="s">
        <v>56</v>
      </c>
      <c r="B6" s="5">
        <v>1.52</v>
      </c>
      <c r="C6" s="5">
        <v>2.6</v>
      </c>
      <c r="D6" s="5">
        <v>3.7</v>
      </c>
      <c r="E6" s="5">
        <v>11.56</v>
      </c>
      <c r="F6" s="5" t="s">
        <v>13</v>
      </c>
      <c r="G6" s="5" t="s">
        <v>13</v>
      </c>
      <c r="H6" s="5" t="s">
        <v>13</v>
      </c>
      <c r="I6" s="5">
        <v>6.6</v>
      </c>
      <c r="K6" s="6">
        <v>725.07</v>
      </c>
      <c r="M6" s="5">
        <v>1.1200000000000001</v>
      </c>
      <c r="N6" s="5">
        <v>2.23</v>
      </c>
    </row>
    <row r="7" spans="1:14" ht="14.25" customHeight="1" x14ac:dyDescent="0.35">
      <c r="A7" s="4" t="s">
        <v>57</v>
      </c>
      <c r="B7" s="5">
        <v>0.31</v>
      </c>
      <c r="C7" s="5">
        <v>1.71</v>
      </c>
      <c r="D7" s="5">
        <v>5.47</v>
      </c>
      <c r="E7" s="5">
        <v>8.58</v>
      </c>
      <c r="F7" s="5">
        <v>16.329999999999998</v>
      </c>
      <c r="G7" s="5">
        <v>19.72</v>
      </c>
      <c r="H7" s="5">
        <v>17.010000000000002</v>
      </c>
      <c r="I7" s="5">
        <v>19.239999999999998</v>
      </c>
      <c r="K7" s="6">
        <v>2513.23</v>
      </c>
      <c r="M7" s="5">
        <v>0.54</v>
      </c>
      <c r="N7" s="5">
        <v>1.98</v>
      </c>
    </row>
    <row r="8" spans="1:14" ht="14.25" customHeight="1" x14ac:dyDescent="0.35">
      <c r="A8" s="4" t="s">
        <v>58</v>
      </c>
      <c r="B8" s="5">
        <v>0.51</v>
      </c>
      <c r="C8" s="5">
        <v>1.93</v>
      </c>
      <c r="D8" s="5">
        <v>7.42</v>
      </c>
      <c r="E8" s="5">
        <v>9.91</v>
      </c>
      <c r="F8" s="5">
        <v>9.65</v>
      </c>
      <c r="G8" s="5">
        <v>19.41</v>
      </c>
      <c r="H8" s="5" t="s">
        <v>13</v>
      </c>
      <c r="I8" s="5">
        <v>19.84</v>
      </c>
      <c r="K8" s="6">
        <v>4835.6899999999996</v>
      </c>
      <c r="M8" s="5">
        <v>0.65</v>
      </c>
      <c r="N8" s="5">
        <v>1.89</v>
      </c>
    </row>
    <row r="9" spans="1:14" ht="14.25" customHeight="1" x14ac:dyDescent="0.35">
      <c r="A9" s="4" t="s">
        <v>59</v>
      </c>
      <c r="B9" s="5">
        <v>-0.02</v>
      </c>
      <c r="C9" s="5">
        <v>2.11</v>
      </c>
      <c r="D9" s="5">
        <v>6.07</v>
      </c>
      <c r="E9" s="5">
        <v>6.04</v>
      </c>
      <c r="F9" s="5">
        <v>10.26</v>
      </c>
      <c r="G9" s="5">
        <v>17.07</v>
      </c>
      <c r="H9" s="5">
        <v>13.47</v>
      </c>
      <c r="I9" s="5">
        <v>17.170000000000002</v>
      </c>
      <c r="K9" s="6">
        <v>20170.28</v>
      </c>
      <c r="M9" s="5">
        <v>0.74</v>
      </c>
      <c r="N9" s="5">
        <v>1.68</v>
      </c>
    </row>
    <row r="10" spans="1:14" ht="14.25" customHeight="1" x14ac:dyDescent="0.35">
      <c r="A10" s="4" t="s">
        <v>60</v>
      </c>
      <c r="B10" s="5">
        <v>0.46</v>
      </c>
      <c r="C10" s="5">
        <v>2.33</v>
      </c>
      <c r="D10" s="5">
        <v>5.56</v>
      </c>
      <c r="E10" s="5">
        <v>7.62</v>
      </c>
      <c r="F10" s="5">
        <v>12.16</v>
      </c>
      <c r="G10" s="5">
        <v>23.86</v>
      </c>
      <c r="H10" s="5">
        <v>20.11</v>
      </c>
      <c r="I10" s="5">
        <v>21.49</v>
      </c>
      <c r="K10" s="6">
        <v>17748.32</v>
      </c>
      <c r="M10" s="5">
        <v>0.49</v>
      </c>
      <c r="N10" s="5">
        <v>1.68</v>
      </c>
    </row>
    <row r="11" spans="1:14" ht="14.25" customHeight="1" x14ac:dyDescent="0.35">
      <c r="A11" s="4" t="s">
        <v>61</v>
      </c>
      <c r="B11" s="5">
        <v>-0.06</v>
      </c>
      <c r="C11" s="5">
        <v>2.5299999999999998</v>
      </c>
      <c r="D11" s="5">
        <v>8.3000000000000007</v>
      </c>
      <c r="E11" s="5">
        <v>5.41</v>
      </c>
      <c r="F11" s="5">
        <v>7.71</v>
      </c>
      <c r="G11" s="5">
        <v>18.73</v>
      </c>
      <c r="H11" s="5">
        <v>15.84</v>
      </c>
      <c r="I11" s="5">
        <v>18.23</v>
      </c>
      <c r="K11" s="6">
        <v>12489.74</v>
      </c>
      <c r="M11" s="5">
        <v>1.02</v>
      </c>
      <c r="N11" s="5">
        <v>1.8</v>
      </c>
    </row>
    <row r="12" spans="1:14" ht="14.25" customHeight="1" x14ac:dyDescent="0.35">
      <c r="A12" s="4" t="s">
        <v>62</v>
      </c>
      <c r="B12" s="5">
        <v>-0.15</v>
      </c>
      <c r="C12" s="5">
        <v>2.77</v>
      </c>
      <c r="D12" s="5">
        <v>7.99</v>
      </c>
      <c r="E12" s="5">
        <v>5.73</v>
      </c>
      <c r="F12" s="5">
        <v>12.23</v>
      </c>
      <c r="G12" s="5">
        <v>20.36</v>
      </c>
      <c r="H12" s="5">
        <v>20.83</v>
      </c>
      <c r="I12" s="5">
        <v>20.420000000000002</v>
      </c>
      <c r="K12" s="6">
        <v>100858.31</v>
      </c>
      <c r="M12" s="5">
        <v>0.77</v>
      </c>
      <c r="N12" s="5">
        <v>1.37</v>
      </c>
    </row>
    <row r="13" spans="1:14" ht="14.25" customHeight="1" x14ac:dyDescent="0.35">
      <c r="A13" s="4" t="s">
        <v>63</v>
      </c>
      <c r="B13" s="5">
        <v>0</v>
      </c>
      <c r="C13" s="5">
        <v>1.43</v>
      </c>
      <c r="D13" s="5">
        <v>9.1</v>
      </c>
      <c r="E13" s="5">
        <v>14.6</v>
      </c>
      <c r="F13" s="5">
        <v>17.739999999999998</v>
      </c>
      <c r="G13" s="5" t="s">
        <v>13</v>
      </c>
      <c r="H13" s="5" t="s">
        <v>13</v>
      </c>
      <c r="I13" s="5">
        <v>27.59</v>
      </c>
      <c r="K13" s="6">
        <v>1793.33</v>
      </c>
      <c r="M13" s="5">
        <v>0.57999999999999996</v>
      </c>
      <c r="N13" s="5">
        <v>2.11</v>
      </c>
    </row>
    <row r="14" spans="1:14" ht="14.25" customHeight="1" x14ac:dyDescent="0.35">
      <c r="A14" s="4" t="s">
        <v>64</v>
      </c>
      <c r="B14" s="5">
        <v>0.45</v>
      </c>
      <c r="C14" s="5">
        <v>3.86</v>
      </c>
      <c r="D14" s="5">
        <v>9.34</v>
      </c>
      <c r="E14" s="5">
        <v>17.600000000000001</v>
      </c>
      <c r="F14" s="5">
        <v>23.02</v>
      </c>
      <c r="G14" s="5">
        <v>26.21</v>
      </c>
      <c r="H14" s="5">
        <v>20.03</v>
      </c>
      <c r="I14" s="5">
        <v>20.38</v>
      </c>
      <c r="K14" s="6">
        <v>15351.91</v>
      </c>
      <c r="M14" s="5">
        <v>0.66</v>
      </c>
      <c r="N14" s="5">
        <v>1.73</v>
      </c>
    </row>
    <row r="15" spans="1:14" ht="14.25" customHeight="1" x14ac:dyDescent="0.35">
      <c r="A15" s="4" t="s">
        <v>65</v>
      </c>
      <c r="B15" s="5">
        <v>0.67</v>
      </c>
      <c r="C15" s="5">
        <v>3</v>
      </c>
      <c r="D15" s="5">
        <v>3.29</v>
      </c>
      <c r="E15" s="5">
        <v>8.99</v>
      </c>
      <c r="F15" s="5">
        <v>19.11</v>
      </c>
      <c r="G15" s="5">
        <v>24.37</v>
      </c>
      <c r="H15" s="5">
        <v>18.940000000000001</v>
      </c>
      <c r="I15" s="5">
        <v>19.61</v>
      </c>
      <c r="K15" s="6">
        <v>7845.63</v>
      </c>
      <c r="M15" s="5">
        <v>1.05</v>
      </c>
      <c r="N15" s="5">
        <v>1.87</v>
      </c>
    </row>
    <row r="16" spans="1:14" ht="14.25" customHeight="1" x14ac:dyDescent="0.35">
      <c r="A16" s="4" t="s">
        <v>66</v>
      </c>
      <c r="B16" s="5">
        <v>-0.5</v>
      </c>
      <c r="C16" s="5">
        <v>0.81</v>
      </c>
      <c r="D16" s="5">
        <v>9.6</v>
      </c>
      <c r="E16" s="5">
        <v>10.62</v>
      </c>
      <c r="F16" s="5">
        <v>12.18</v>
      </c>
      <c r="G16" s="5">
        <v>25.97</v>
      </c>
      <c r="H16" s="5">
        <v>21.11</v>
      </c>
      <c r="I16" s="5">
        <v>21.2</v>
      </c>
      <c r="K16" s="6">
        <v>13766.86</v>
      </c>
      <c r="M16" s="5">
        <v>0.55000000000000004</v>
      </c>
      <c r="N16" s="5">
        <v>1.72</v>
      </c>
    </row>
    <row r="17" spans="1:14" ht="14.25" customHeight="1" x14ac:dyDescent="0.35">
      <c r="A17" s="4" t="s">
        <v>67</v>
      </c>
      <c r="B17" s="5">
        <v>0.16</v>
      </c>
      <c r="C17" s="5">
        <v>3.25</v>
      </c>
      <c r="D17" s="5">
        <v>7.24</v>
      </c>
      <c r="E17" s="5">
        <v>9.59</v>
      </c>
      <c r="F17" s="5">
        <v>16.5</v>
      </c>
      <c r="G17" s="5">
        <v>23.33</v>
      </c>
      <c r="H17" s="5">
        <v>17.72</v>
      </c>
      <c r="I17" s="5">
        <v>19.350000000000001</v>
      </c>
      <c r="K17" s="6">
        <v>1445.6</v>
      </c>
      <c r="M17" s="5">
        <v>0.28000000000000003</v>
      </c>
      <c r="N17" s="5">
        <v>2.02</v>
      </c>
    </row>
    <row r="18" spans="1:14" ht="14.25" customHeight="1" x14ac:dyDescent="0.35">
      <c r="A18" s="4" t="s">
        <v>68</v>
      </c>
      <c r="B18" s="5">
        <v>0.33</v>
      </c>
      <c r="C18" s="5">
        <v>3.51</v>
      </c>
      <c r="D18" s="5">
        <v>9.73</v>
      </c>
      <c r="E18" s="5">
        <v>16.36</v>
      </c>
      <c r="F18" s="5">
        <v>15.05</v>
      </c>
      <c r="G18" s="5">
        <v>21.67</v>
      </c>
      <c r="H18" s="5" t="s">
        <v>13</v>
      </c>
      <c r="I18" s="5">
        <v>24.74</v>
      </c>
      <c r="K18" s="6">
        <v>1274.52</v>
      </c>
      <c r="M18" s="5">
        <v>0.75</v>
      </c>
      <c r="N18" s="5">
        <v>2.21</v>
      </c>
    </row>
    <row r="19" spans="1:14" ht="14.25" customHeight="1" x14ac:dyDescent="0.35">
      <c r="A19" s="4" t="s">
        <v>69</v>
      </c>
      <c r="B19" s="5">
        <v>-0.18</v>
      </c>
      <c r="C19" s="5">
        <v>0.91</v>
      </c>
      <c r="D19" s="5">
        <v>6.9</v>
      </c>
      <c r="E19" s="5">
        <v>8.69</v>
      </c>
      <c r="F19" s="5">
        <v>10.42</v>
      </c>
      <c r="G19" s="5">
        <v>20.12</v>
      </c>
      <c r="H19" s="5">
        <v>18.309999999999999</v>
      </c>
      <c r="I19" s="5">
        <v>20.29</v>
      </c>
      <c r="K19" s="6">
        <v>67611</v>
      </c>
      <c r="M19" s="5">
        <v>0.38</v>
      </c>
      <c r="N19" s="5">
        <v>1.4</v>
      </c>
    </row>
    <row r="20" spans="1:14" ht="14.25" customHeight="1" x14ac:dyDescent="0.35">
      <c r="A20" s="4" t="s">
        <v>70</v>
      </c>
      <c r="B20" s="5">
        <v>1.49</v>
      </c>
      <c r="C20" s="5">
        <v>3.38</v>
      </c>
      <c r="D20" s="5">
        <v>8.31</v>
      </c>
      <c r="E20" s="5">
        <v>10.51</v>
      </c>
      <c r="F20" s="5">
        <v>11.68</v>
      </c>
      <c r="G20" s="5">
        <v>19.05</v>
      </c>
      <c r="H20" s="5">
        <v>14.8</v>
      </c>
      <c r="I20" s="5">
        <v>14.19</v>
      </c>
      <c r="K20" s="6">
        <v>368.57</v>
      </c>
      <c r="M20" s="5">
        <v>1.44</v>
      </c>
      <c r="N20" s="5">
        <v>2.5</v>
      </c>
    </row>
    <row r="21" spans="1:14" ht="14.25" customHeight="1" x14ac:dyDescent="0.35">
      <c r="A21" s="4" t="s">
        <v>71</v>
      </c>
      <c r="B21" s="5">
        <v>0.5</v>
      </c>
      <c r="C21" s="5">
        <v>2.52</v>
      </c>
      <c r="D21" s="5">
        <v>7.48</v>
      </c>
      <c r="E21" s="5">
        <v>11.38</v>
      </c>
      <c r="F21" s="5">
        <v>17.850000000000001</v>
      </c>
      <c r="G21" s="5">
        <v>22.4</v>
      </c>
      <c r="H21" s="5">
        <v>19.89</v>
      </c>
      <c r="I21" s="5">
        <v>18.559999999999999</v>
      </c>
      <c r="K21" s="6">
        <v>5075.66</v>
      </c>
      <c r="M21" s="5">
        <v>0.46</v>
      </c>
      <c r="N21" s="5">
        <v>1.85</v>
      </c>
    </row>
    <row r="22" spans="1:14" ht="14.25" customHeight="1" x14ac:dyDescent="0.35">
      <c r="A22" s="4" t="s">
        <v>72</v>
      </c>
      <c r="B22" s="5">
        <v>0.17</v>
      </c>
      <c r="C22" s="5">
        <v>1.75</v>
      </c>
      <c r="D22" s="5">
        <v>8.02</v>
      </c>
      <c r="E22" s="5">
        <v>9.61</v>
      </c>
      <c r="F22" s="5">
        <v>15.43</v>
      </c>
      <c r="G22" s="5">
        <v>18.739999999999998</v>
      </c>
      <c r="H22" s="5">
        <v>17.09</v>
      </c>
      <c r="I22" s="5">
        <v>23.54</v>
      </c>
      <c r="K22" s="6">
        <v>19542.560000000001</v>
      </c>
      <c r="M22" s="5">
        <v>0.57999999999999996</v>
      </c>
      <c r="N22" s="5">
        <v>1.67</v>
      </c>
    </row>
    <row r="23" spans="1:14" ht="14.25" customHeight="1" x14ac:dyDescent="0.35">
      <c r="A23" s="4" t="s">
        <v>73</v>
      </c>
      <c r="B23" s="5">
        <v>1.69</v>
      </c>
      <c r="C23" s="5">
        <v>5.37</v>
      </c>
      <c r="D23" s="5">
        <v>14.72</v>
      </c>
      <c r="E23" s="5">
        <v>12.95</v>
      </c>
      <c r="F23" s="5">
        <v>3.17</v>
      </c>
      <c r="G23" s="5">
        <v>21.69</v>
      </c>
      <c r="H23" s="5">
        <v>23.43</v>
      </c>
      <c r="I23" s="5">
        <v>22.06</v>
      </c>
      <c r="K23" s="6">
        <v>37473.870000000003</v>
      </c>
      <c r="M23" s="5">
        <v>0.85</v>
      </c>
      <c r="N23" s="5">
        <v>1.6</v>
      </c>
    </row>
    <row r="24" spans="1:14" ht="14.25" customHeight="1" x14ac:dyDescent="0.35">
      <c r="A24" s="4" t="s">
        <v>74</v>
      </c>
      <c r="B24" s="5">
        <v>0.28000000000000003</v>
      </c>
      <c r="C24" s="5">
        <v>1.91</v>
      </c>
      <c r="D24" s="5">
        <v>5.4</v>
      </c>
      <c r="E24" s="5">
        <v>6.79</v>
      </c>
      <c r="F24" s="5">
        <v>12.62</v>
      </c>
      <c r="G24" s="5">
        <v>21.75</v>
      </c>
      <c r="H24" s="5">
        <v>20.28</v>
      </c>
      <c r="I24" s="5">
        <v>18.5</v>
      </c>
      <c r="K24" s="6">
        <v>49169.1</v>
      </c>
      <c r="M24" s="5">
        <v>0.78</v>
      </c>
      <c r="N24" s="5">
        <v>1.55</v>
      </c>
    </row>
    <row r="25" spans="1:14" ht="14.25" customHeight="1" x14ac:dyDescent="0.35">
      <c r="A25" s="4" t="s">
        <v>75</v>
      </c>
      <c r="B25" s="5">
        <v>0.57999999999999996</v>
      </c>
      <c r="C25" s="5">
        <v>2.48</v>
      </c>
      <c r="D25" s="5">
        <v>6.89</v>
      </c>
      <c r="E25" s="5">
        <v>7.03</v>
      </c>
      <c r="F25" s="5">
        <v>4.5199999999999996</v>
      </c>
      <c r="G25" s="5">
        <v>13.77</v>
      </c>
      <c r="H25" s="5">
        <v>12.71</v>
      </c>
      <c r="I25" s="5">
        <v>17.62</v>
      </c>
      <c r="K25" s="6">
        <v>10981.47</v>
      </c>
      <c r="M25" s="5">
        <v>0.52</v>
      </c>
      <c r="N25" s="5">
        <v>1.73</v>
      </c>
    </row>
    <row r="26" spans="1:14" ht="14.25" customHeight="1" x14ac:dyDescent="0.35">
      <c r="A26" s="4" t="s">
        <v>76</v>
      </c>
      <c r="B26" s="5">
        <v>-1.45</v>
      </c>
      <c r="C26" s="5">
        <v>-0.15</v>
      </c>
      <c r="D26" s="5">
        <v>3.59</v>
      </c>
      <c r="E26" s="5">
        <v>13.27</v>
      </c>
      <c r="F26" s="5">
        <v>7.16</v>
      </c>
      <c r="G26" s="5">
        <v>14.19</v>
      </c>
      <c r="H26" s="5">
        <v>17.36</v>
      </c>
      <c r="I26" s="5">
        <v>16.77</v>
      </c>
      <c r="K26" s="6">
        <v>8138.18</v>
      </c>
      <c r="M26" s="5">
        <v>0.85</v>
      </c>
      <c r="N26" s="5">
        <v>1.84</v>
      </c>
    </row>
    <row r="27" spans="1:14" ht="14.25" customHeight="1" x14ac:dyDescent="0.35">
      <c r="A27" s="4" t="s">
        <v>77</v>
      </c>
      <c r="B27" s="5">
        <v>0.3</v>
      </c>
      <c r="C27" s="5">
        <v>1.41</v>
      </c>
      <c r="D27" s="5">
        <v>2.33</v>
      </c>
      <c r="E27" s="5">
        <v>3.15</v>
      </c>
      <c r="F27" s="5" t="s">
        <v>13</v>
      </c>
      <c r="G27" s="5" t="s">
        <v>13</v>
      </c>
      <c r="H27" s="5" t="s">
        <v>13</v>
      </c>
      <c r="I27" s="5">
        <v>3.17</v>
      </c>
      <c r="K27" s="6">
        <v>78.64</v>
      </c>
      <c r="M27" s="5">
        <v>0.89</v>
      </c>
      <c r="N27" s="5">
        <v>2.41</v>
      </c>
    </row>
    <row r="28" spans="1:14" ht="14.25" customHeight="1" x14ac:dyDescent="0.35">
      <c r="A28" s="4" t="s">
        <v>78</v>
      </c>
      <c r="B28" s="5">
        <v>-0.13</v>
      </c>
      <c r="C28" s="5">
        <v>0.55000000000000004</v>
      </c>
      <c r="D28" s="5">
        <v>4.1399999999999997</v>
      </c>
      <c r="E28" s="5">
        <v>5.17</v>
      </c>
      <c r="F28" s="5">
        <v>9.56</v>
      </c>
      <c r="G28" s="5">
        <v>13.97</v>
      </c>
      <c r="H28" s="5">
        <v>15.28</v>
      </c>
      <c r="I28" s="5">
        <v>18.34</v>
      </c>
      <c r="K28" s="6">
        <v>24126.69</v>
      </c>
      <c r="M28" s="5">
        <v>0.86</v>
      </c>
      <c r="N28" s="5">
        <v>1.68</v>
      </c>
    </row>
    <row r="29" spans="1:14" ht="14.25" customHeight="1" x14ac:dyDescent="0.35">
      <c r="A29" s="4" t="s">
        <v>79</v>
      </c>
      <c r="B29" s="5">
        <v>0.04</v>
      </c>
      <c r="C29" s="5">
        <v>2.83</v>
      </c>
      <c r="D29" s="5">
        <v>7.64</v>
      </c>
      <c r="E29" s="5">
        <v>7.76</v>
      </c>
      <c r="F29" s="5">
        <v>12.7</v>
      </c>
      <c r="G29" s="5">
        <v>21.94</v>
      </c>
      <c r="H29" s="5">
        <v>19.11</v>
      </c>
      <c r="I29" s="5">
        <v>18.14</v>
      </c>
      <c r="K29" s="6">
        <v>14026.07</v>
      </c>
      <c r="M29" s="5">
        <v>0.86</v>
      </c>
      <c r="N29" s="5">
        <v>1.73</v>
      </c>
    </row>
    <row r="30" spans="1:14" ht="14.25" customHeight="1" x14ac:dyDescent="0.35">
      <c r="A30" s="4" t="s">
        <v>80</v>
      </c>
      <c r="B30" s="5">
        <v>0.82</v>
      </c>
      <c r="C30" s="5">
        <v>1.56</v>
      </c>
      <c r="D30" s="5">
        <v>5.76</v>
      </c>
      <c r="E30" s="5">
        <v>6.53</v>
      </c>
      <c r="F30" s="5">
        <v>12.48</v>
      </c>
      <c r="G30" s="5">
        <v>17.73</v>
      </c>
      <c r="H30" s="5">
        <v>16.68</v>
      </c>
      <c r="I30" s="5">
        <v>19.23</v>
      </c>
      <c r="K30" s="6">
        <v>5868.39</v>
      </c>
      <c r="M30" s="5">
        <v>0.68</v>
      </c>
      <c r="N30" s="5">
        <v>1.87</v>
      </c>
    </row>
    <row r="31" spans="1:14" ht="14.25" customHeight="1" x14ac:dyDescent="0.35">
      <c r="A31" s="4" t="s">
        <v>81</v>
      </c>
      <c r="B31" s="5">
        <v>-1.21</v>
      </c>
      <c r="C31" s="5">
        <v>6.73</v>
      </c>
      <c r="D31" s="5">
        <v>10.31</v>
      </c>
      <c r="E31" s="5">
        <v>10.62</v>
      </c>
      <c r="F31" s="5">
        <v>8.9700000000000006</v>
      </c>
      <c r="G31" s="5">
        <v>12.04</v>
      </c>
      <c r="H31" s="5">
        <v>13.28</v>
      </c>
      <c r="I31" s="5">
        <v>16.14</v>
      </c>
      <c r="K31" s="6">
        <v>125.16</v>
      </c>
      <c r="M31" s="5">
        <v>2.15</v>
      </c>
      <c r="N31" s="5">
        <v>2.58</v>
      </c>
    </row>
    <row r="32" spans="1:14" ht="14.25" customHeight="1" x14ac:dyDescent="0.35">
      <c r="A32" s="4" t="s">
        <v>82</v>
      </c>
      <c r="B32" s="5">
        <v>1.4</v>
      </c>
      <c r="C32" s="5">
        <v>4.13</v>
      </c>
      <c r="D32" s="5">
        <v>12.27</v>
      </c>
      <c r="E32" s="5" t="s">
        <v>13</v>
      </c>
      <c r="F32" s="5" t="s">
        <v>13</v>
      </c>
      <c r="G32" s="5" t="s">
        <v>13</v>
      </c>
      <c r="H32" s="5" t="s">
        <v>13</v>
      </c>
      <c r="I32" s="5">
        <v>23.5</v>
      </c>
      <c r="K32" s="6">
        <v>312.27</v>
      </c>
      <c r="M32" s="5">
        <v>0.45</v>
      </c>
      <c r="N32" s="5">
        <v>2.2999999999999998</v>
      </c>
    </row>
    <row r="33" spans="1:14" ht="14.25" customHeight="1" x14ac:dyDescent="0.35">
      <c r="A33" s="4" t="s">
        <v>83</v>
      </c>
      <c r="B33" s="5">
        <v>1.1000000000000001</v>
      </c>
      <c r="C33" s="5">
        <v>3.16</v>
      </c>
      <c r="D33" s="5">
        <v>8.34</v>
      </c>
      <c r="E33" s="5">
        <v>11.03</v>
      </c>
      <c r="F33" s="5">
        <v>15.17</v>
      </c>
      <c r="G33" s="5">
        <v>19.829999999999998</v>
      </c>
      <c r="H33" s="5">
        <v>17.260000000000002</v>
      </c>
      <c r="I33" s="5">
        <v>31.65</v>
      </c>
      <c r="K33" s="6">
        <v>1846.92</v>
      </c>
      <c r="M33" s="5">
        <v>0.83</v>
      </c>
      <c r="N33" s="5">
        <v>2.13</v>
      </c>
    </row>
    <row r="34" spans="1:14" ht="14.25" customHeight="1" x14ac:dyDescent="0.35">
      <c r="A34" s="4" t="s">
        <v>84</v>
      </c>
      <c r="B34" s="5">
        <v>1.42</v>
      </c>
      <c r="C34" s="5">
        <v>4.05</v>
      </c>
      <c r="D34" s="5">
        <v>7.8</v>
      </c>
      <c r="E34" s="5">
        <v>8.34</v>
      </c>
      <c r="F34" s="5">
        <v>9.26</v>
      </c>
      <c r="G34" s="5">
        <v>14.56</v>
      </c>
      <c r="H34" s="5">
        <v>14.09</v>
      </c>
      <c r="I34" s="5">
        <v>18.350000000000001</v>
      </c>
      <c r="K34" s="6">
        <v>12122.33</v>
      </c>
      <c r="M34" s="5">
        <v>0.93</v>
      </c>
      <c r="N34" s="5">
        <v>1.77</v>
      </c>
    </row>
    <row r="35" spans="1:14" ht="14.25" customHeight="1" x14ac:dyDescent="0.35">
      <c r="A35" s="4" t="s">
        <v>85</v>
      </c>
      <c r="B35" s="5">
        <v>0.85</v>
      </c>
      <c r="C35" s="5">
        <v>2.4900000000000002</v>
      </c>
      <c r="D35" s="5">
        <v>9.7200000000000006</v>
      </c>
      <c r="E35" s="5">
        <v>14.93</v>
      </c>
      <c r="F35" s="5">
        <v>18.510000000000002</v>
      </c>
      <c r="G35" s="5">
        <v>24.45</v>
      </c>
      <c r="H35" s="5" t="s">
        <v>13</v>
      </c>
      <c r="I35" s="5">
        <v>24.4</v>
      </c>
      <c r="K35" s="6">
        <v>6171.27</v>
      </c>
      <c r="M35" s="5">
        <v>0.64</v>
      </c>
      <c r="N35" s="5">
        <v>1.87</v>
      </c>
    </row>
    <row r="36" spans="1:14" ht="14.25" customHeight="1" x14ac:dyDescent="0.35">
      <c r="A36" s="7" t="s">
        <v>49</v>
      </c>
      <c r="B36" s="8">
        <f t="shared" ref="B36:H36" si="0">MEDIAN(B3:B35)</f>
        <v>0.33</v>
      </c>
      <c r="C36" s="8">
        <f t="shared" si="0"/>
        <v>2.52</v>
      </c>
      <c r="D36" s="8">
        <f t="shared" si="0"/>
        <v>7.64</v>
      </c>
      <c r="E36" s="8">
        <f t="shared" si="0"/>
        <v>9.6</v>
      </c>
      <c r="F36" s="8">
        <f t="shared" si="0"/>
        <v>12.33</v>
      </c>
      <c r="G36" s="8">
        <f t="shared" si="0"/>
        <v>19.829999999999998</v>
      </c>
      <c r="H36" s="8">
        <f t="shared" si="0"/>
        <v>17.260000000000002</v>
      </c>
      <c r="I36" s="8">
        <f>MEDIAN(I3:I35)</f>
        <v>19.239999999999998</v>
      </c>
    </row>
    <row r="37" spans="1:14" ht="14.25" customHeight="1" x14ac:dyDescent="0.35">
      <c r="A37" s="2" t="s">
        <v>50</v>
      </c>
      <c r="B37" s="5" t="s">
        <v>13</v>
      </c>
      <c r="C37" s="5" t="s">
        <v>13</v>
      </c>
      <c r="D37" s="5" t="s">
        <v>13</v>
      </c>
      <c r="E37" s="5" t="s">
        <v>13</v>
      </c>
      <c r="F37" s="5" t="s">
        <v>13</v>
      </c>
      <c r="G37" s="5" t="s">
        <v>13</v>
      </c>
      <c r="H37" s="5" t="s">
        <v>13</v>
      </c>
      <c r="I37" s="5" t="s">
        <v>13</v>
      </c>
    </row>
    <row r="38" spans="1:14" ht="14.25" customHeight="1" x14ac:dyDescent="0.35">
      <c r="A38" s="4" t="s">
        <v>86</v>
      </c>
      <c r="B38" s="5">
        <v>0.24</v>
      </c>
      <c r="C38" s="5">
        <v>1.59</v>
      </c>
      <c r="D38" s="5">
        <v>4.75</v>
      </c>
      <c r="E38" s="5">
        <v>6.98</v>
      </c>
      <c r="F38" s="5">
        <v>11.43</v>
      </c>
      <c r="G38" s="5">
        <v>18.260000000000002</v>
      </c>
      <c r="H38" s="5">
        <v>17.54</v>
      </c>
      <c r="I38" s="5"/>
    </row>
    <row r="39" spans="1:14" ht="14.25" customHeight="1" x14ac:dyDescent="0.35">
      <c r="A39" s="4" t="s">
        <v>87</v>
      </c>
      <c r="B39" s="5">
        <v>0.26</v>
      </c>
      <c r="C39" s="5">
        <v>1.73</v>
      </c>
      <c r="D39" s="5">
        <v>5.04</v>
      </c>
      <c r="E39" s="5">
        <v>7.34</v>
      </c>
      <c r="F39" s="5">
        <v>12.12</v>
      </c>
      <c r="G39" s="5">
        <v>18.95</v>
      </c>
      <c r="H39" s="5">
        <v>18.36</v>
      </c>
      <c r="I39" s="5"/>
    </row>
  </sheetData>
  <mergeCells count="1">
    <mergeCell ref="M1:N1"/>
  </mergeCells>
  <conditionalFormatting sqref="F3:F35">
    <cfRule type="expression" dxfId="74" priority="2">
      <formula>AND(ISNUMBER(F3),F3&gt;MEDIAN($F$3:$F$35))</formula>
    </cfRule>
  </conditionalFormatting>
  <conditionalFormatting sqref="G3:G35">
    <cfRule type="expression" dxfId="73" priority="3">
      <formula>AND(ISNUMBER(G3),G3&gt;MEDIAN($G$3:$G$35))</formula>
    </cfRule>
  </conditionalFormatting>
  <conditionalFormatting sqref="H3:H35">
    <cfRule type="expression" dxfId="72" priority="4">
      <formula>AND(ISNUMBER(H3),H3&gt;MEDIAN($H$3:$H$35))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0"/>
  <sheetViews>
    <sheetView topLeftCell="A25" zoomScale="70" zoomScaleNormal="70" workbookViewId="0">
      <selection activeCell="H52" sqref="H52"/>
    </sheetView>
  </sheetViews>
  <sheetFormatPr defaultColWidth="8.54296875" defaultRowHeight="14.5" x14ac:dyDescent="0.35"/>
  <cols>
    <col min="1" max="1" width="41.542968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1796875" customWidth="1"/>
    <col min="11" max="11" width="12.90625" customWidth="1"/>
    <col min="12" max="12" width="2.6328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179</v>
      </c>
      <c r="B3" s="5">
        <v>-0.19</v>
      </c>
      <c r="C3" s="5">
        <v>4.0999999999999996</v>
      </c>
      <c r="D3" s="5">
        <v>11.93</v>
      </c>
      <c r="E3" s="5">
        <v>10.64</v>
      </c>
      <c r="F3" s="5">
        <v>12.67</v>
      </c>
      <c r="G3" s="5">
        <v>19.670000000000002</v>
      </c>
      <c r="H3" s="5" t="s">
        <v>13</v>
      </c>
      <c r="I3" s="5">
        <v>19</v>
      </c>
      <c r="K3" s="4">
        <v>2118.85</v>
      </c>
      <c r="M3" s="5">
        <v>0.48</v>
      </c>
      <c r="N3" s="5">
        <v>1.99</v>
      </c>
    </row>
    <row r="4" spans="1:14" ht="14.25" customHeight="1" x14ac:dyDescent="0.35">
      <c r="A4" s="4" t="s">
        <v>180</v>
      </c>
      <c r="B4" s="5">
        <v>0.28000000000000003</v>
      </c>
      <c r="C4" s="5">
        <v>3.25</v>
      </c>
      <c r="D4" s="5">
        <v>10.87</v>
      </c>
      <c r="E4" s="5">
        <v>12.63</v>
      </c>
      <c r="F4" s="5" t="s">
        <v>13</v>
      </c>
      <c r="G4" s="5" t="s">
        <v>13</v>
      </c>
      <c r="H4" s="5" t="s">
        <v>13</v>
      </c>
      <c r="I4" s="5">
        <v>13.39</v>
      </c>
      <c r="K4" s="4">
        <v>5300.95</v>
      </c>
      <c r="M4" s="5">
        <v>0.49</v>
      </c>
      <c r="N4" s="5">
        <v>1.89</v>
      </c>
    </row>
    <row r="5" spans="1:14" ht="14.25" customHeight="1" x14ac:dyDescent="0.35">
      <c r="A5" s="4" t="s">
        <v>181</v>
      </c>
      <c r="B5" s="5">
        <v>-0.38</v>
      </c>
      <c r="C5" s="5">
        <v>3.75</v>
      </c>
      <c r="D5" s="5">
        <v>8.31</v>
      </c>
      <c r="E5" s="5">
        <v>6.37</v>
      </c>
      <c r="F5" s="5">
        <v>12.94</v>
      </c>
      <c r="G5" s="5">
        <v>17.25</v>
      </c>
      <c r="H5" s="5">
        <v>13.34</v>
      </c>
      <c r="I5" s="5">
        <v>16.489999999999998</v>
      </c>
      <c r="K5" s="4">
        <v>26726.75</v>
      </c>
      <c r="M5" s="5">
        <v>0.85</v>
      </c>
      <c r="N5" s="5">
        <v>1.65</v>
      </c>
    </row>
    <row r="6" spans="1:14" ht="14.25" customHeight="1" x14ac:dyDescent="0.35">
      <c r="A6" s="4" t="s">
        <v>182</v>
      </c>
      <c r="B6" s="5">
        <v>0.38</v>
      </c>
      <c r="C6" s="5">
        <v>4.5599999999999996</v>
      </c>
      <c r="D6" s="5">
        <v>11.3</v>
      </c>
      <c r="E6" s="5">
        <v>8.1999999999999993</v>
      </c>
      <c r="F6" s="5">
        <v>8.76</v>
      </c>
      <c r="G6" s="5">
        <v>15.79</v>
      </c>
      <c r="H6" s="5">
        <v>10.86</v>
      </c>
      <c r="I6" s="5">
        <v>14.2</v>
      </c>
      <c r="K6" s="4">
        <v>13327.81</v>
      </c>
      <c r="M6" s="5">
        <v>0.7</v>
      </c>
      <c r="N6" s="5">
        <v>1.73</v>
      </c>
    </row>
    <row r="7" spans="1:14" ht="14.25" customHeight="1" x14ac:dyDescent="0.35">
      <c r="A7" s="4" t="s">
        <v>183</v>
      </c>
      <c r="B7" s="5">
        <v>-0.56999999999999995</v>
      </c>
      <c r="C7" s="5">
        <v>2.72</v>
      </c>
      <c r="D7" s="5">
        <v>8.17</v>
      </c>
      <c r="E7" s="5">
        <v>7.12</v>
      </c>
      <c r="F7" s="5">
        <v>11.25</v>
      </c>
      <c r="G7" s="5">
        <v>18.16</v>
      </c>
      <c r="H7" s="5" t="s">
        <v>13</v>
      </c>
      <c r="I7" s="5">
        <v>18.16</v>
      </c>
      <c r="K7" s="4">
        <v>7768.94</v>
      </c>
      <c r="M7" s="5">
        <v>0.55000000000000004</v>
      </c>
      <c r="N7" s="5">
        <v>1.79</v>
      </c>
    </row>
    <row r="8" spans="1:14" ht="14.25" customHeight="1" x14ac:dyDescent="0.35">
      <c r="A8" s="4" t="s">
        <v>184</v>
      </c>
      <c r="B8" s="5">
        <v>-0.59</v>
      </c>
      <c r="C8" s="5">
        <v>1.61</v>
      </c>
      <c r="D8" s="5">
        <v>4.8499999999999996</v>
      </c>
      <c r="E8" s="5">
        <v>1.21</v>
      </c>
      <c r="F8" s="5">
        <v>3.88</v>
      </c>
      <c r="G8" s="5">
        <v>13.51</v>
      </c>
      <c r="H8" s="5">
        <v>11.52</v>
      </c>
      <c r="I8" s="5">
        <v>13.78</v>
      </c>
      <c r="K8" s="4">
        <v>7417.4</v>
      </c>
      <c r="M8" s="5">
        <v>1.1499999999999999</v>
      </c>
      <c r="N8" s="5">
        <v>1.89</v>
      </c>
    </row>
    <row r="9" spans="1:14" ht="14.25" customHeight="1" x14ac:dyDescent="0.35">
      <c r="A9" s="4" t="s">
        <v>185</v>
      </c>
      <c r="B9" s="5">
        <v>0.19</v>
      </c>
      <c r="C9" s="5">
        <v>3.43</v>
      </c>
      <c r="D9" s="5">
        <v>7.72</v>
      </c>
      <c r="E9" s="5">
        <v>11.58</v>
      </c>
      <c r="F9" s="5">
        <v>17.21</v>
      </c>
      <c r="G9" s="5">
        <v>22.19</v>
      </c>
      <c r="H9" s="5">
        <v>18.010000000000002</v>
      </c>
      <c r="I9" s="5">
        <v>26.66</v>
      </c>
      <c r="K9" s="4">
        <v>2615.0500000000002</v>
      </c>
      <c r="M9" s="5">
        <v>0.52</v>
      </c>
      <c r="N9" s="5">
        <v>1.92</v>
      </c>
    </row>
    <row r="10" spans="1:14" ht="14.25" customHeight="1" x14ac:dyDescent="0.35">
      <c r="A10" s="4" t="s">
        <v>186</v>
      </c>
      <c r="B10" s="5">
        <v>0</v>
      </c>
      <c r="C10" s="5">
        <v>3.12</v>
      </c>
      <c r="D10" s="5">
        <v>6.56</v>
      </c>
      <c r="E10" s="5">
        <v>4.91</v>
      </c>
      <c r="F10" s="5">
        <v>7.43</v>
      </c>
      <c r="G10" s="5">
        <v>14.85</v>
      </c>
      <c r="H10" s="5" t="s">
        <v>13</v>
      </c>
      <c r="I10" s="5">
        <v>14.53</v>
      </c>
      <c r="K10" s="4">
        <v>1239.4000000000001</v>
      </c>
      <c r="M10" s="5">
        <v>1.02</v>
      </c>
      <c r="N10" s="5">
        <v>2.19</v>
      </c>
    </row>
    <row r="11" spans="1:14" ht="14.25" customHeight="1" x14ac:dyDescent="0.35">
      <c r="A11" s="4" t="s">
        <v>187</v>
      </c>
      <c r="B11" s="5">
        <v>-0.09</v>
      </c>
      <c r="C11" s="5">
        <v>2.6</v>
      </c>
      <c r="D11" s="5">
        <v>6.36</v>
      </c>
      <c r="E11" s="5">
        <v>1.93</v>
      </c>
      <c r="F11" s="5">
        <v>3.83</v>
      </c>
      <c r="G11" s="5">
        <v>13.81</v>
      </c>
      <c r="H11" s="5">
        <v>11.52</v>
      </c>
      <c r="I11" s="5">
        <v>14.25</v>
      </c>
      <c r="K11" s="4">
        <v>13327.72</v>
      </c>
      <c r="M11" s="5">
        <v>0.56999999999999995</v>
      </c>
      <c r="N11" s="5">
        <v>1.71</v>
      </c>
    </row>
    <row r="12" spans="1:14" ht="14.25" customHeight="1" x14ac:dyDescent="0.35">
      <c r="A12" s="4" t="s">
        <v>188</v>
      </c>
      <c r="B12" s="5">
        <v>-0.41</v>
      </c>
      <c r="C12" s="5">
        <v>2.33</v>
      </c>
      <c r="D12" s="5">
        <v>2.99</v>
      </c>
      <c r="E12" s="5">
        <v>1.49</v>
      </c>
      <c r="F12" s="5">
        <v>4.78</v>
      </c>
      <c r="G12" s="5" t="s">
        <v>13</v>
      </c>
      <c r="H12" s="5" t="s">
        <v>13</v>
      </c>
      <c r="I12" s="5">
        <v>3.49</v>
      </c>
      <c r="K12" s="4">
        <v>443.6</v>
      </c>
      <c r="M12" s="5">
        <v>0.94</v>
      </c>
      <c r="N12" s="5">
        <v>2.34</v>
      </c>
    </row>
    <row r="13" spans="1:14" ht="14.25" customHeight="1" x14ac:dyDescent="0.35">
      <c r="A13" s="4" t="s">
        <v>189</v>
      </c>
      <c r="B13" s="5">
        <v>-0.47</v>
      </c>
      <c r="C13" s="5">
        <v>1.57</v>
      </c>
      <c r="D13" s="5">
        <v>6.86</v>
      </c>
      <c r="E13" s="5">
        <v>1.6</v>
      </c>
      <c r="F13" s="5">
        <v>6.39</v>
      </c>
      <c r="G13" s="5">
        <v>13.91</v>
      </c>
      <c r="H13" s="5">
        <v>11.42</v>
      </c>
      <c r="I13" s="5">
        <v>14.78</v>
      </c>
      <c r="K13" s="4">
        <v>12235.93</v>
      </c>
      <c r="M13" s="5">
        <v>0.7</v>
      </c>
      <c r="N13" s="5">
        <v>1.74</v>
      </c>
    </row>
    <row r="14" spans="1:14" ht="14.25" customHeight="1" x14ac:dyDescent="0.35">
      <c r="A14" s="4" t="s">
        <v>190</v>
      </c>
      <c r="B14" s="5">
        <v>-0.18</v>
      </c>
      <c r="C14" s="5">
        <v>3.06</v>
      </c>
      <c r="D14" s="5">
        <v>5.0999999999999996</v>
      </c>
      <c r="E14" s="5">
        <v>1.89</v>
      </c>
      <c r="F14" s="5">
        <v>7.54</v>
      </c>
      <c r="G14" s="5">
        <v>16.760000000000002</v>
      </c>
      <c r="H14" s="5">
        <v>14.51</v>
      </c>
      <c r="I14" s="5">
        <v>14.26</v>
      </c>
      <c r="K14" s="4">
        <v>3483.69</v>
      </c>
      <c r="M14" s="5">
        <v>0.46</v>
      </c>
      <c r="N14" s="5">
        <v>1.91</v>
      </c>
    </row>
    <row r="15" spans="1:14" ht="14.25" customHeight="1" x14ac:dyDescent="0.35">
      <c r="A15" s="4" t="s">
        <v>191</v>
      </c>
      <c r="B15" s="5">
        <v>-0.4</v>
      </c>
      <c r="C15" s="5">
        <v>1.68</v>
      </c>
      <c r="D15" s="5">
        <v>5.6</v>
      </c>
      <c r="E15" s="5">
        <v>-0.63</v>
      </c>
      <c r="F15" s="5">
        <v>1.47</v>
      </c>
      <c r="G15" s="5">
        <v>13.72</v>
      </c>
      <c r="H15" s="5">
        <v>13.72</v>
      </c>
      <c r="I15" s="5">
        <v>15.59</v>
      </c>
      <c r="K15" s="4">
        <v>19274.14</v>
      </c>
      <c r="M15" s="5">
        <v>0.91</v>
      </c>
      <c r="N15" s="5">
        <v>1.71</v>
      </c>
    </row>
    <row r="16" spans="1:14" ht="14.25" customHeight="1" x14ac:dyDescent="0.35">
      <c r="A16" s="4" t="s">
        <v>192</v>
      </c>
      <c r="B16" s="5">
        <v>-0.24</v>
      </c>
      <c r="C16" s="5">
        <v>2.87</v>
      </c>
      <c r="D16" s="5">
        <v>7.54</v>
      </c>
      <c r="E16" s="5">
        <v>0.71</v>
      </c>
      <c r="F16" s="5">
        <v>6.29</v>
      </c>
      <c r="G16" s="5">
        <v>17.73</v>
      </c>
      <c r="H16" s="5">
        <v>18.64</v>
      </c>
      <c r="I16" s="5">
        <v>16.18</v>
      </c>
      <c r="K16" s="4">
        <v>106495.63</v>
      </c>
      <c r="M16" s="5">
        <v>0.68</v>
      </c>
      <c r="N16" s="5">
        <v>1.35</v>
      </c>
    </row>
    <row r="17" spans="1:14" ht="14.25" customHeight="1" x14ac:dyDescent="0.35">
      <c r="A17" s="4" t="s">
        <v>193</v>
      </c>
      <c r="B17" s="5">
        <v>0.49</v>
      </c>
      <c r="C17" s="5">
        <v>0.74</v>
      </c>
      <c r="D17" s="5">
        <v>7.39</v>
      </c>
      <c r="E17" s="5">
        <v>6.93</v>
      </c>
      <c r="F17" s="5">
        <v>10.91</v>
      </c>
      <c r="G17" s="5" t="s">
        <v>13</v>
      </c>
      <c r="H17" s="5" t="s">
        <v>13</v>
      </c>
      <c r="I17" s="5">
        <v>19.34</v>
      </c>
      <c r="K17" s="4">
        <v>7577.33</v>
      </c>
      <c r="M17" s="5">
        <v>0.51</v>
      </c>
      <c r="N17" s="5">
        <v>1.78</v>
      </c>
    </row>
    <row r="18" spans="1:14" ht="14.25" customHeight="1" x14ac:dyDescent="0.35">
      <c r="A18" s="4" t="s">
        <v>194</v>
      </c>
      <c r="B18" s="5">
        <v>0.45</v>
      </c>
      <c r="C18" s="5">
        <v>4.67</v>
      </c>
      <c r="D18" s="5">
        <v>7.83</v>
      </c>
      <c r="E18" s="5">
        <v>8.57</v>
      </c>
      <c r="F18" s="5">
        <v>9.94</v>
      </c>
      <c r="G18" s="5">
        <v>17.8</v>
      </c>
      <c r="H18" s="5">
        <v>14.65</v>
      </c>
      <c r="I18" s="5">
        <v>15.27</v>
      </c>
      <c r="K18" s="4">
        <v>5633.43</v>
      </c>
      <c r="M18" s="5">
        <v>1.22</v>
      </c>
      <c r="N18" s="5">
        <v>1.95</v>
      </c>
    </row>
    <row r="19" spans="1:14" ht="14.25" customHeight="1" x14ac:dyDescent="0.35">
      <c r="A19" s="4" t="s">
        <v>195</v>
      </c>
      <c r="B19" s="5">
        <v>-0.36</v>
      </c>
      <c r="C19" s="5">
        <v>6.6</v>
      </c>
      <c r="D19" s="5">
        <v>12.91</v>
      </c>
      <c r="E19" s="5">
        <v>7.84</v>
      </c>
      <c r="F19" s="5">
        <v>15.48</v>
      </c>
      <c r="G19" s="5">
        <v>19.170000000000002</v>
      </c>
      <c r="H19" s="5">
        <v>16.78</v>
      </c>
      <c r="I19" s="5">
        <v>17.100000000000001</v>
      </c>
      <c r="K19" s="4">
        <v>22506.87</v>
      </c>
      <c r="M19" s="5">
        <v>0.8</v>
      </c>
      <c r="N19" s="5">
        <v>1.69</v>
      </c>
    </row>
    <row r="20" spans="1:14" ht="14.25" customHeight="1" x14ac:dyDescent="0.35">
      <c r="A20" s="4" t="s">
        <v>196</v>
      </c>
      <c r="B20" s="5">
        <v>0.66</v>
      </c>
      <c r="C20" s="5">
        <v>3.06</v>
      </c>
      <c r="D20" s="5">
        <v>11.39</v>
      </c>
      <c r="E20" s="5">
        <v>9.49</v>
      </c>
      <c r="F20" s="5">
        <v>6.1</v>
      </c>
      <c r="G20" s="5">
        <v>20.39</v>
      </c>
      <c r="H20" s="5" t="s">
        <v>13</v>
      </c>
      <c r="I20" s="5">
        <v>18.22</v>
      </c>
      <c r="K20" s="4">
        <v>5273.59</v>
      </c>
      <c r="M20" s="5">
        <v>0.53</v>
      </c>
      <c r="N20" s="5">
        <v>1.85</v>
      </c>
    </row>
    <row r="21" spans="1:14" ht="14.25" customHeight="1" x14ac:dyDescent="0.35">
      <c r="A21" s="4" t="s">
        <v>197</v>
      </c>
      <c r="B21" s="5">
        <v>0.35</v>
      </c>
      <c r="C21" s="5">
        <v>3.27</v>
      </c>
      <c r="D21" s="5">
        <v>11.48</v>
      </c>
      <c r="E21" s="5">
        <v>11.47</v>
      </c>
      <c r="F21" s="5">
        <v>16.079999999999998</v>
      </c>
      <c r="G21" s="5">
        <v>20.329999999999998</v>
      </c>
      <c r="H21" s="5" t="s">
        <v>13</v>
      </c>
      <c r="I21" s="5">
        <v>24.08</v>
      </c>
      <c r="K21" s="4">
        <v>1412.22</v>
      </c>
      <c r="M21" s="5">
        <v>0.36</v>
      </c>
      <c r="N21" s="5">
        <v>2</v>
      </c>
    </row>
    <row r="22" spans="1:14" ht="14.25" customHeight="1" x14ac:dyDescent="0.35">
      <c r="A22" s="4" t="s">
        <v>198</v>
      </c>
      <c r="B22" s="5">
        <v>-0.48</v>
      </c>
      <c r="C22" s="5">
        <v>2.09</v>
      </c>
      <c r="D22" s="5">
        <v>5.1100000000000003</v>
      </c>
      <c r="E22" s="5">
        <v>-0.04</v>
      </c>
      <c r="F22" s="5" t="s">
        <v>13</v>
      </c>
      <c r="G22" s="5" t="s">
        <v>13</v>
      </c>
      <c r="H22" s="5" t="s">
        <v>13</v>
      </c>
      <c r="I22" s="5">
        <v>1.56</v>
      </c>
      <c r="K22" s="4">
        <v>3211.24</v>
      </c>
      <c r="M22" s="5">
        <v>0.5</v>
      </c>
      <c r="N22" s="5">
        <v>1.85</v>
      </c>
    </row>
    <row r="23" spans="1:14" ht="14.25" customHeight="1" x14ac:dyDescent="0.35">
      <c r="A23" s="4" t="s">
        <v>199</v>
      </c>
      <c r="B23" s="5">
        <v>0.53</v>
      </c>
      <c r="C23" s="5">
        <v>4.37</v>
      </c>
      <c r="D23" s="5">
        <v>8.66</v>
      </c>
      <c r="E23" s="5">
        <v>8.35</v>
      </c>
      <c r="F23" s="5">
        <v>7.77</v>
      </c>
      <c r="G23" s="5">
        <v>17.260000000000002</v>
      </c>
      <c r="H23" s="5">
        <v>17.7</v>
      </c>
      <c r="I23" s="5">
        <v>17.05</v>
      </c>
      <c r="K23" s="4">
        <v>5177.87</v>
      </c>
      <c r="M23" s="5">
        <v>0.68</v>
      </c>
      <c r="N23" s="5">
        <v>1.86</v>
      </c>
    </row>
    <row r="24" spans="1:14" ht="14.25" customHeight="1" x14ac:dyDescent="0.35">
      <c r="A24" s="4" t="s">
        <v>200</v>
      </c>
      <c r="B24" s="5">
        <v>-0.23</v>
      </c>
      <c r="C24" s="5">
        <v>1.6</v>
      </c>
      <c r="D24" s="5">
        <v>4.1500000000000004</v>
      </c>
      <c r="E24" s="5">
        <v>-1.36</v>
      </c>
      <c r="F24" s="5">
        <v>4.05</v>
      </c>
      <c r="G24" s="5">
        <v>14.02</v>
      </c>
      <c r="H24" s="5">
        <v>12.33</v>
      </c>
      <c r="I24" s="5">
        <v>15.76</v>
      </c>
      <c r="K24" s="4">
        <v>55850.29</v>
      </c>
      <c r="M24" s="5">
        <v>0.59</v>
      </c>
      <c r="N24" s="5">
        <v>1.46</v>
      </c>
    </row>
    <row r="25" spans="1:14" ht="14.25" customHeight="1" x14ac:dyDescent="0.35">
      <c r="A25" s="4" t="s">
        <v>201</v>
      </c>
      <c r="B25" s="5">
        <v>0.99</v>
      </c>
      <c r="C25" s="5">
        <v>5.2</v>
      </c>
      <c r="D25" s="5">
        <v>14.95</v>
      </c>
      <c r="E25" s="5">
        <v>11.24</v>
      </c>
      <c r="F25" s="5">
        <v>15.04</v>
      </c>
      <c r="G25" s="5">
        <v>14.51</v>
      </c>
      <c r="H25" s="5">
        <v>11.97</v>
      </c>
      <c r="I25" s="5">
        <v>11.54</v>
      </c>
      <c r="K25" s="4">
        <v>1052.6600000000001</v>
      </c>
      <c r="M25" s="5">
        <v>1.65</v>
      </c>
      <c r="N25" s="5">
        <v>2.39</v>
      </c>
    </row>
    <row r="26" spans="1:14" ht="14.25" customHeight="1" x14ac:dyDescent="0.35">
      <c r="A26" s="4" t="s">
        <v>202</v>
      </c>
      <c r="B26" s="5">
        <v>0.37</v>
      </c>
      <c r="C26" s="5">
        <v>2.61</v>
      </c>
      <c r="D26" s="5">
        <v>5.29</v>
      </c>
      <c r="E26" s="5">
        <v>0.24</v>
      </c>
      <c r="F26" s="5">
        <v>3.74</v>
      </c>
      <c r="G26" s="5">
        <v>12.66</v>
      </c>
      <c r="H26" s="5" t="s">
        <v>13</v>
      </c>
      <c r="I26" s="5">
        <v>12.15</v>
      </c>
      <c r="K26" s="4">
        <v>1559.38</v>
      </c>
      <c r="M26" s="5">
        <v>0.56000000000000005</v>
      </c>
      <c r="N26" s="5">
        <v>2.09</v>
      </c>
    </row>
    <row r="27" spans="1:14" ht="14.25" customHeight="1" x14ac:dyDescent="0.35">
      <c r="A27" s="4" t="s">
        <v>203</v>
      </c>
      <c r="B27" s="5">
        <v>-7.0000000000000007E-2</v>
      </c>
      <c r="C27" s="5">
        <v>1.43</v>
      </c>
      <c r="D27" s="5">
        <v>4.75</v>
      </c>
      <c r="E27" s="5">
        <v>1.99</v>
      </c>
      <c r="F27" s="5">
        <v>6.69</v>
      </c>
      <c r="G27" s="5">
        <v>13.97</v>
      </c>
      <c r="H27" s="5" t="s">
        <v>13</v>
      </c>
      <c r="I27" s="5">
        <v>16.850000000000001</v>
      </c>
      <c r="K27" s="4">
        <v>4262.03</v>
      </c>
      <c r="M27" s="5">
        <v>0.51</v>
      </c>
      <c r="N27" s="5">
        <v>1.9</v>
      </c>
    </row>
    <row r="28" spans="1:14" ht="14.25" customHeight="1" x14ac:dyDescent="0.35">
      <c r="A28" s="4" t="s">
        <v>204</v>
      </c>
      <c r="B28" s="5">
        <v>-0.03</v>
      </c>
      <c r="C28" s="5">
        <v>6.13</v>
      </c>
      <c r="D28" s="5">
        <v>14.69</v>
      </c>
      <c r="E28" s="5">
        <v>10</v>
      </c>
      <c r="F28" s="5">
        <v>5.69</v>
      </c>
      <c r="G28" s="5">
        <v>21.03</v>
      </c>
      <c r="H28" s="5">
        <v>13.45</v>
      </c>
      <c r="I28" s="5">
        <v>17.28</v>
      </c>
      <c r="K28" s="4">
        <v>13294.42</v>
      </c>
      <c r="M28" s="5">
        <v>0.82</v>
      </c>
      <c r="N28" s="5">
        <v>1.72</v>
      </c>
    </row>
    <row r="29" spans="1:14" ht="14.25" customHeight="1" x14ac:dyDescent="0.35">
      <c r="A29" s="4" t="s">
        <v>205</v>
      </c>
      <c r="B29" s="5">
        <v>-0.06</v>
      </c>
      <c r="C29" s="5">
        <v>3.29</v>
      </c>
      <c r="D29" s="5">
        <v>9.7899999999999991</v>
      </c>
      <c r="E29" s="5">
        <v>8.6199999999999992</v>
      </c>
      <c r="F29" s="5">
        <v>16.28</v>
      </c>
      <c r="G29" s="5">
        <v>13.56</v>
      </c>
      <c r="H29" s="5">
        <v>13.13</v>
      </c>
      <c r="I29" s="5">
        <v>14.35</v>
      </c>
      <c r="K29" s="4">
        <v>280.7</v>
      </c>
      <c r="M29" s="5">
        <v>0.53</v>
      </c>
      <c r="N29" s="5">
        <v>2.2000000000000002</v>
      </c>
    </row>
    <row r="30" spans="1:14" ht="14.25" customHeight="1" x14ac:dyDescent="0.35">
      <c r="A30" s="4" t="s">
        <v>206</v>
      </c>
      <c r="B30" s="5">
        <v>-0.15</v>
      </c>
      <c r="C30" s="5">
        <v>2.2000000000000002</v>
      </c>
      <c r="D30" s="5">
        <v>6.67</v>
      </c>
      <c r="E30" s="5">
        <v>3.54</v>
      </c>
      <c r="F30" s="5">
        <v>5.18</v>
      </c>
      <c r="G30" s="5">
        <v>12.84</v>
      </c>
      <c r="H30" s="5">
        <v>12.72</v>
      </c>
      <c r="I30" s="5">
        <v>12.72</v>
      </c>
      <c r="K30" s="4">
        <v>9590.17</v>
      </c>
      <c r="M30" s="5">
        <v>0.46</v>
      </c>
      <c r="N30" s="5">
        <v>1.74</v>
      </c>
    </row>
    <row r="31" spans="1:14" ht="14.25" customHeight="1" x14ac:dyDescent="0.35">
      <c r="A31" s="4" t="s">
        <v>207</v>
      </c>
      <c r="B31" s="5">
        <v>-0.14000000000000001</v>
      </c>
      <c r="C31" s="5">
        <v>3.03</v>
      </c>
      <c r="D31" s="5">
        <v>5.44</v>
      </c>
      <c r="E31" s="5">
        <v>3.01</v>
      </c>
      <c r="F31" s="5">
        <v>1.75</v>
      </c>
      <c r="G31" s="5" t="s">
        <v>13</v>
      </c>
      <c r="H31" s="5" t="s">
        <v>13</v>
      </c>
      <c r="I31" s="5">
        <v>12.01</v>
      </c>
      <c r="K31" s="4">
        <v>2591.73</v>
      </c>
      <c r="M31" s="5">
        <v>0.53</v>
      </c>
      <c r="N31" s="5">
        <v>1.99</v>
      </c>
    </row>
    <row r="32" spans="1:14" ht="14.25" customHeight="1" x14ac:dyDescent="0.35">
      <c r="A32" s="4" t="s">
        <v>208</v>
      </c>
      <c r="B32" s="5">
        <v>-0.7</v>
      </c>
      <c r="C32" s="5">
        <v>0.9</v>
      </c>
      <c r="D32" s="5">
        <v>1.46</v>
      </c>
      <c r="E32" s="5">
        <v>-0.41</v>
      </c>
      <c r="F32" s="5">
        <v>-0.6</v>
      </c>
      <c r="G32" s="5">
        <v>14.52</v>
      </c>
      <c r="H32" s="5">
        <v>13.43</v>
      </c>
      <c r="I32" s="5">
        <v>18.23</v>
      </c>
      <c r="K32" s="4">
        <v>143388.43</v>
      </c>
      <c r="M32" s="5">
        <v>0.62</v>
      </c>
      <c r="N32" s="5">
        <v>1.27</v>
      </c>
    </row>
    <row r="33" spans="1:14" ht="14.25" customHeight="1" x14ac:dyDescent="0.35">
      <c r="A33" s="4" t="s">
        <v>209</v>
      </c>
      <c r="B33" s="5">
        <v>0.18</v>
      </c>
      <c r="C33" s="5">
        <v>3.26</v>
      </c>
      <c r="D33" s="5">
        <v>7.07</v>
      </c>
      <c r="E33" s="5">
        <v>4.45</v>
      </c>
      <c r="F33" s="5">
        <v>5.09</v>
      </c>
      <c r="G33" s="5">
        <v>12.27</v>
      </c>
      <c r="H33" s="5">
        <v>9.6300000000000008</v>
      </c>
      <c r="I33" s="5">
        <v>13.9</v>
      </c>
      <c r="K33" s="4">
        <v>5817.78</v>
      </c>
      <c r="M33" s="5">
        <v>0.49</v>
      </c>
      <c r="N33" s="5">
        <v>1.82</v>
      </c>
    </row>
    <row r="34" spans="1:14" ht="14.25" customHeight="1" x14ac:dyDescent="0.35">
      <c r="A34" s="4" t="s">
        <v>210</v>
      </c>
      <c r="B34" s="5">
        <v>-0.13</v>
      </c>
      <c r="C34" s="5">
        <v>1.0900000000000001</v>
      </c>
      <c r="D34" s="5">
        <v>6.66</v>
      </c>
      <c r="E34" s="5">
        <v>14.98</v>
      </c>
      <c r="F34" s="5">
        <v>19.05</v>
      </c>
      <c r="G34" s="5">
        <v>18</v>
      </c>
      <c r="H34" s="5">
        <v>16.48</v>
      </c>
      <c r="I34" s="5">
        <v>18.78</v>
      </c>
      <c r="K34" s="4">
        <v>7140.12</v>
      </c>
      <c r="M34" s="5">
        <v>0.74</v>
      </c>
      <c r="N34" s="5">
        <v>1.86</v>
      </c>
    </row>
    <row r="35" spans="1:14" ht="14.25" customHeight="1" x14ac:dyDescent="0.35">
      <c r="A35" s="4" t="s">
        <v>211</v>
      </c>
      <c r="B35" s="5">
        <v>1.1399999999999999</v>
      </c>
      <c r="C35" s="5">
        <v>2.9</v>
      </c>
      <c r="D35" s="5">
        <v>1.43</v>
      </c>
      <c r="E35" s="5">
        <v>3.08</v>
      </c>
      <c r="F35" s="5">
        <v>-0.37</v>
      </c>
      <c r="G35" s="5">
        <v>-0.53</v>
      </c>
      <c r="H35" s="5" t="s">
        <v>13</v>
      </c>
      <c r="I35" s="5">
        <v>1.4</v>
      </c>
      <c r="K35" s="4">
        <v>281.89999999999998</v>
      </c>
      <c r="M35" s="5">
        <v>0.91</v>
      </c>
      <c r="N35" s="5">
        <v>2.41</v>
      </c>
    </row>
    <row r="36" spans="1:14" ht="14.25" customHeight="1" x14ac:dyDescent="0.35">
      <c r="A36" s="4" t="s">
        <v>212</v>
      </c>
      <c r="B36" s="5">
        <v>-0.32</v>
      </c>
      <c r="C36" s="5">
        <v>1.95</v>
      </c>
      <c r="D36" s="5">
        <v>4.17</v>
      </c>
      <c r="E36" s="5">
        <v>-0.5</v>
      </c>
      <c r="F36" s="5">
        <v>3.2</v>
      </c>
      <c r="G36" s="5">
        <v>10.15</v>
      </c>
      <c r="H36" s="5">
        <v>9.4700000000000006</v>
      </c>
      <c r="I36" s="5">
        <v>14.72</v>
      </c>
      <c r="K36" s="4">
        <v>22685.08</v>
      </c>
      <c r="M36" s="5">
        <v>0.86</v>
      </c>
      <c r="N36" s="5">
        <v>1.68</v>
      </c>
    </row>
    <row r="37" spans="1:14" ht="14" customHeight="1" x14ac:dyDescent="0.35">
      <c r="A37" s="4" t="s">
        <v>213</v>
      </c>
      <c r="B37" s="5">
        <v>-0.82</v>
      </c>
      <c r="C37" s="5">
        <v>1.36</v>
      </c>
      <c r="D37" s="5">
        <v>5.17</v>
      </c>
      <c r="E37" s="5">
        <v>0.82</v>
      </c>
      <c r="F37" s="5">
        <v>2.78</v>
      </c>
      <c r="G37" s="5">
        <v>10.11</v>
      </c>
      <c r="H37" s="5">
        <v>9.4499999999999993</v>
      </c>
      <c r="I37" s="5">
        <v>11.19</v>
      </c>
      <c r="K37" s="4">
        <v>132.5</v>
      </c>
      <c r="M37" s="5">
        <v>0.46</v>
      </c>
      <c r="N37" s="5">
        <v>2.35</v>
      </c>
    </row>
    <row r="38" spans="1:14" ht="14.25" customHeight="1" x14ac:dyDescent="0.35">
      <c r="A38" s="4" t="s">
        <v>214</v>
      </c>
      <c r="B38" s="5">
        <v>-0.65</v>
      </c>
      <c r="C38" s="5">
        <v>1.8</v>
      </c>
      <c r="D38" s="5">
        <v>4.12</v>
      </c>
      <c r="E38" s="5">
        <v>-1.92</v>
      </c>
      <c r="F38" s="5">
        <v>0.26</v>
      </c>
      <c r="G38" s="5">
        <v>11.3</v>
      </c>
      <c r="H38" s="5" t="s">
        <v>13</v>
      </c>
      <c r="I38" s="5">
        <v>11.75</v>
      </c>
      <c r="K38" s="4">
        <v>1990.15</v>
      </c>
      <c r="M38" s="5">
        <v>0.75</v>
      </c>
      <c r="N38" s="5">
        <v>2.06</v>
      </c>
    </row>
    <row r="39" spans="1:14" ht="14.25" customHeight="1" x14ac:dyDescent="0.35">
      <c r="A39" s="4" t="s">
        <v>215</v>
      </c>
      <c r="B39" s="5">
        <v>-0.9</v>
      </c>
      <c r="C39" s="5">
        <v>0.63</v>
      </c>
      <c r="D39" s="5">
        <v>2.27</v>
      </c>
      <c r="E39" s="5">
        <v>-1.2</v>
      </c>
      <c r="F39" s="5">
        <v>1.53</v>
      </c>
      <c r="G39" s="5">
        <v>12.19</v>
      </c>
      <c r="H39" s="5">
        <v>10.84</v>
      </c>
      <c r="I39" s="5">
        <v>13.25</v>
      </c>
      <c r="K39" s="4">
        <v>3638.77</v>
      </c>
      <c r="M39" s="5">
        <v>0.59</v>
      </c>
      <c r="N39" s="5">
        <v>1.86</v>
      </c>
    </row>
    <row r="40" spans="1:14" ht="14.25" customHeight="1" x14ac:dyDescent="0.35">
      <c r="A40" s="4" t="s">
        <v>216</v>
      </c>
      <c r="B40" s="5">
        <v>-1.53</v>
      </c>
      <c r="C40" s="5">
        <v>4.16</v>
      </c>
      <c r="D40" s="5">
        <v>8.69</v>
      </c>
      <c r="E40" s="5">
        <v>7.62</v>
      </c>
      <c r="F40" s="5">
        <v>7.51</v>
      </c>
      <c r="G40" s="5">
        <v>12.81</v>
      </c>
      <c r="H40" s="5">
        <v>10.77</v>
      </c>
      <c r="I40" s="5">
        <v>10.4</v>
      </c>
      <c r="K40" s="4">
        <v>348.79</v>
      </c>
      <c r="M40" s="5">
        <v>2.63</v>
      </c>
      <c r="N40" s="5">
        <v>2.67</v>
      </c>
    </row>
    <row r="41" spans="1:14" ht="14.25" customHeight="1" x14ac:dyDescent="0.35">
      <c r="A41" s="4" t="s">
        <v>217</v>
      </c>
      <c r="B41" s="5">
        <v>-0.22</v>
      </c>
      <c r="C41" s="5">
        <v>0.95</v>
      </c>
      <c r="D41" s="5">
        <v>2.4</v>
      </c>
      <c r="E41" s="5">
        <v>2.1800000000000002</v>
      </c>
      <c r="F41" s="5" t="s">
        <v>13</v>
      </c>
      <c r="G41" s="5" t="s">
        <v>13</v>
      </c>
      <c r="H41" s="5" t="s">
        <v>13</v>
      </c>
      <c r="I41" s="5">
        <v>2.13</v>
      </c>
      <c r="K41" s="4">
        <v>240.53</v>
      </c>
      <c r="M41" s="5">
        <v>0.39</v>
      </c>
      <c r="N41" s="5">
        <v>2.34</v>
      </c>
    </row>
    <row r="42" spans="1:14" ht="14.25" customHeight="1" x14ac:dyDescent="0.35">
      <c r="A42" s="4" t="s">
        <v>218</v>
      </c>
      <c r="B42" s="5">
        <v>0.94</v>
      </c>
      <c r="C42" s="5">
        <v>6.09</v>
      </c>
      <c r="D42" s="5">
        <v>11.8</v>
      </c>
      <c r="E42" s="5">
        <v>9.93</v>
      </c>
      <c r="F42" s="5">
        <v>13.17</v>
      </c>
      <c r="G42" s="5" t="s">
        <v>13</v>
      </c>
      <c r="H42" s="5" t="s">
        <v>13</v>
      </c>
      <c r="I42" s="5">
        <v>11.66</v>
      </c>
      <c r="K42" s="4">
        <v>976.22</v>
      </c>
      <c r="M42" s="5">
        <v>0.49</v>
      </c>
      <c r="N42" s="5">
        <v>2.11</v>
      </c>
    </row>
    <row r="43" spans="1:14" ht="14.25" customHeight="1" x14ac:dyDescent="0.35">
      <c r="A43" s="4" t="s">
        <v>219</v>
      </c>
      <c r="B43" s="5">
        <v>0.42</v>
      </c>
      <c r="C43" s="5">
        <v>2.16</v>
      </c>
      <c r="D43" s="5">
        <v>7.33</v>
      </c>
      <c r="E43" s="5">
        <v>5.8</v>
      </c>
      <c r="F43" s="5">
        <v>7.99</v>
      </c>
      <c r="G43" s="5" t="s">
        <v>13</v>
      </c>
      <c r="H43" s="5" t="s">
        <v>13</v>
      </c>
      <c r="I43" s="5">
        <v>6.94</v>
      </c>
      <c r="K43" s="4">
        <v>199.92</v>
      </c>
      <c r="M43" s="5">
        <v>1.08</v>
      </c>
      <c r="N43" s="5">
        <v>2.38</v>
      </c>
    </row>
    <row r="44" spans="1:14" ht="14.25" customHeight="1" x14ac:dyDescent="0.35">
      <c r="A44" s="4" t="s">
        <v>220</v>
      </c>
      <c r="B44" s="5">
        <v>0.75</v>
      </c>
      <c r="C44" s="5">
        <v>3.21</v>
      </c>
      <c r="D44" s="5">
        <v>7.87</v>
      </c>
      <c r="E44" s="5">
        <v>4.62</v>
      </c>
      <c r="F44" s="5">
        <v>7.47</v>
      </c>
      <c r="G44" s="5">
        <v>13.41</v>
      </c>
      <c r="H44" s="5">
        <v>12.15</v>
      </c>
      <c r="I44" s="5">
        <v>13.36</v>
      </c>
      <c r="K44" s="4">
        <v>2375.89</v>
      </c>
      <c r="M44" s="5">
        <v>1</v>
      </c>
      <c r="N44" s="5">
        <v>2.09</v>
      </c>
    </row>
    <row r="45" spans="1:14" ht="14.25" customHeight="1" x14ac:dyDescent="0.35">
      <c r="A45" s="4" t="s">
        <v>221</v>
      </c>
      <c r="B45" s="5">
        <v>1.06</v>
      </c>
      <c r="C45" s="5">
        <v>5.81</v>
      </c>
      <c r="D45" s="5">
        <v>13.4</v>
      </c>
      <c r="E45" s="5">
        <v>8.2200000000000006</v>
      </c>
      <c r="F45" s="5">
        <v>4.87</v>
      </c>
      <c r="G45" s="5">
        <v>10.41</v>
      </c>
      <c r="H45" s="5">
        <v>7.06</v>
      </c>
      <c r="I45" s="5">
        <v>13.64</v>
      </c>
      <c r="K45" s="4">
        <v>22881.63</v>
      </c>
      <c r="M45" s="5">
        <v>1.05</v>
      </c>
      <c r="N45" s="5">
        <v>1.68</v>
      </c>
    </row>
    <row r="46" spans="1:14" ht="14.25" customHeight="1" x14ac:dyDescent="0.35">
      <c r="A46" s="4" t="s">
        <v>222</v>
      </c>
      <c r="B46" s="5">
        <v>0.21</v>
      </c>
      <c r="C46" s="5">
        <v>2.66</v>
      </c>
      <c r="D46" s="5">
        <v>8.82</v>
      </c>
      <c r="E46" s="5">
        <v>6.8</v>
      </c>
      <c r="F46" s="5">
        <v>8.77</v>
      </c>
      <c r="G46" s="5">
        <v>17.059999999999999</v>
      </c>
      <c r="H46" s="5" t="s">
        <v>13</v>
      </c>
      <c r="I46" s="5">
        <v>17.920000000000002</v>
      </c>
      <c r="K46" s="4">
        <v>8582.39</v>
      </c>
      <c r="M46" s="5">
        <v>0.62</v>
      </c>
      <c r="N46" s="5">
        <v>1.79</v>
      </c>
    </row>
    <row r="47" spans="1:14" ht="14.25" customHeight="1" x14ac:dyDescent="0.35">
      <c r="A47" s="7" t="s">
        <v>49</v>
      </c>
      <c r="B47" s="8">
        <f>MEDIAN(B3:B46)</f>
        <v>-0.11</v>
      </c>
      <c r="C47" s="8">
        <f t="shared" ref="C47:I47" si="0">MEDIAN(C3:C46)</f>
        <v>2.8849999999999998</v>
      </c>
      <c r="D47" s="8">
        <f t="shared" si="0"/>
        <v>7.2</v>
      </c>
      <c r="E47" s="8">
        <f t="shared" si="0"/>
        <v>4.7650000000000006</v>
      </c>
      <c r="F47" s="8">
        <f t="shared" si="0"/>
        <v>6.69</v>
      </c>
      <c r="G47" s="8">
        <f t="shared" si="0"/>
        <v>14.265000000000001</v>
      </c>
      <c r="H47" s="8">
        <f t="shared" si="0"/>
        <v>12.525</v>
      </c>
      <c r="I47" s="8">
        <f t="shared" si="0"/>
        <v>14.305</v>
      </c>
    </row>
    <row r="48" spans="1:14" ht="14.25" customHeight="1" x14ac:dyDescent="0.35">
      <c r="A48" s="2" t="s">
        <v>50</v>
      </c>
      <c r="B48" s="5" t="s">
        <v>13</v>
      </c>
      <c r="C48" s="5" t="s">
        <v>13</v>
      </c>
      <c r="D48" s="5" t="s">
        <v>13</v>
      </c>
      <c r="E48" s="5" t="s">
        <v>13</v>
      </c>
      <c r="F48" s="5" t="s">
        <v>13</v>
      </c>
      <c r="G48" s="5" t="s">
        <v>13</v>
      </c>
      <c r="H48" s="5" t="s">
        <v>13</v>
      </c>
      <c r="I48" s="5" t="s">
        <v>13</v>
      </c>
    </row>
    <row r="49" spans="1:9" ht="14.25" customHeight="1" x14ac:dyDescent="0.35">
      <c r="A49" s="4" t="s">
        <v>141</v>
      </c>
      <c r="B49" s="5">
        <v>-0.49</v>
      </c>
      <c r="C49" s="5">
        <v>1.7</v>
      </c>
      <c r="D49" s="5">
        <v>4.34</v>
      </c>
      <c r="E49" s="5">
        <v>1.2</v>
      </c>
      <c r="F49" s="5">
        <v>4.03</v>
      </c>
      <c r="G49" s="5">
        <v>11.92</v>
      </c>
      <c r="H49" s="5">
        <v>10.89</v>
      </c>
      <c r="I49" s="5"/>
    </row>
    <row r="50" spans="1:9" ht="14.25" customHeight="1" x14ac:dyDescent="0.35">
      <c r="A50" s="4" t="s">
        <v>129</v>
      </c>
      <c r="B50" s="5">
        <v>-0.48</v>
      </c>
      <c r="C50" s="5">
        <v>1.92</v>
      </c>
      <c r="D50" s="5">
        <v>4.93</v>
      </c>
      <c r="E50" s="5">
        <v>1.85</v>
      </c>
      <c r="F50" s="5">
        <v>4.99</v>
      </c>
      <c r="G50" s="5">
        <v>13</v>
      </c>
      <c r="H50" s="5">
        <v>12.02</v>
      </c>
      <c r="I50" s="5"/>
    </row>
  </sheetData>
  <mergeCells count="1">
    <mergeCell ref="M1:N1"/>
  </mergeCells>
  <conditionalFormatting sqref="F3:F46">
    <cfRule type="expression" dxfId="71" priority="2">
      <formula>AND(ISNUMBER(F3),F3&gt;MEDIAN($F$3:$F$46))</formula>
    </cfRule>
  </conditionalFormatting>
  <conditionalFormatting sqref="G3:G46">
    <cfRule type="expression" dxfId="70" priority="3">
      <formula>AND(ISNUMBER(G3),G3&gt;MEDIAN($G$3:$G$46))</formula>
    </cfRule>
  </conditionalFormatting>
  <conditionalFormatting sqref="H3:H46">
    <cfRule type="expression" dxfId="69" priority="4">
      <formula>AND(ISNUMBER(H3),H3&gt;MEDIAN($H$3:$H$46))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zoomScale="70" zoomScaleNormal="70" workbookViewId="0">
      <selection activeCell="P8" sqref="P8"/>
    </sheetView>
  </sheetViews>
  <sheetFormatPr defaultColWidth="8.54296875" defaultRowHeight="14.5" x14ac:dyDescent="0.35"/>
  <cols>
    <col min="1" max="1" width="41.1796875" customWidth="1"/>
    <col min="2" max="2" width="6.7265625" customWidth="1"/>
    <col min="3" max="3" width="7.26953125" customWidth="1"/>
    <col min="4" max="5" width="8.1796875" customWidth="1"/>
    <col min="6" max="6" width="5.81640625" customWidth="1"/>
    <col min="7" max="8" width="6.7265625" customWidth="1"/>
    <col min="9" max="9" width="14" customWidth="1"/>
    <col min="10" max="10" width="2.453125" customWidth="1"/>
    <col min="11" max="11" width="12.90625" customWidth="1"/>
    <col min="12" max="12" width="2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88</v>
      </c>
      <c r="B3" s="5">
        <v>-0.7</v>
      </c>
      <c r="C3" s="5">
        <v>2.59</v>
      </c>
      <c r="D3" s="5">
        <v>6.01</v>
      </c>
      <c r="E3" s="5">
        <v>-0.93</v>
      </c>
      <c r="F3" s="5">
        <v>1.96</v>
      </c>
      <c r="G3" s="5">
        <v>11.79</v>
      </c>
      <c r="H3" s="5">
        <v>10.89</v>
      </c>
      <c r="I3" s="5">
        <v>13.85</v>
      </c>
      <c r="K3" s="9">
        <v>29029.31</v>
      </c>
      <c r="M3" s="5">
        <v>0.97</v>
      </c>
      <c r="N3" s="5">
        <v>1.63</v>
      </c>
    </row>
    <row r="4" spans="1:14" ht="14.25" customHeight="1" x14ac:dyDescent="0.35">
      <c r="A4" s="4" t="s">
        <v>89</v>
      </c>
      <c r="B4" s="5">
        <v>-0.21</v>
      </c>
      <c r="C4" s="5">
        <v>3.12</v>
      </c>
      <c r="D4" s="5">
        <v>7.64</v>
      </c>
      <c r="E4" s="5">
        <v>0.18</v>
      </c>
      <c r="F4" s="5">
        <v>2.78</v>
      </c>
      <c r="G4" s="5">
        <v>11.23</v>
      </c>
      <c r="H4" s="5">
        <v>7.88</v>
      </c>
      <c r="I4" s="5">
        <v>13.81</v>
      </c>
      <c r="K4" s="9">
        <v>30912.59</v>
      </c>
      <c r="M4" s="5">
        <v>0.72</v>
      </c>
      <c r="N4" s="5">
        <v>1.6</v>
      </c>
    </row>
    <row r="5" spans="1:14" ht="14.25" customHeight="1" x14ac:dyDescent="0.35">
      <c r="A5" s="4" t="s">
        <v>90</v>
      </c>
      <c r="B5" s="5">
        <v>-0.85</v>
      </c>
      <c r="C5" s="5">
        <v>2.82</v>
      </c>
      <c r="D5" s="5">
        <v>5.81</v>
      </c>
      <c r="E5" s="5">
        <v>0.7</v>
      </c>
      <c r="F5" s="5">
        <v>7.19</v>
      </c>
      <c r="G5" s="5" t="s">
        <v>13</v>
      </c>
      <c r="H5" s="5" t="s">
        <v>13</v>
      </c>
      <c r="I5" s="5">
        <v>2.85</v>
      </c>
      <c r="K5" s="9">
        <v>1606.7</v>
      </c>
      <c r="M5" s="5">
        <v>0.61</v>
      </c>
      <c r="N5" s="5">
        <v>2.11</v>
      </c>
    </row>
    <row r="6" spans="1:14" ht="14.25" customHeight="1" x14ac:dyDescent="0.35">
      <c r="A6" s="4" t="s">
        <v>91</v>
      </c>
      <c r="B6" s="5">
        <v>-0.57999999999999996</v>
      </c>
      <c r="C6" s="5">
        <v>2.34</v>
      </c>
      <c r="D6" s="5">
        <v>6.52</v>
      </c>
      <c r="E6" s="5">
        <v>1.42</v>
      </c>
      <c r="F6" s="5">
        <v>5.37</v>
      </c>
      <c r="G6" s="5">
        <v>14.63</v>
      </c>
      <c r="H6" s="5">
        <v>12.3</v>
      </c>
      <c r="I6" s="5">
        <v>13.14</v>
      </c>
      <c r="K6" s="9">
        <v>2060.88</v>
      </c>
      <c r="M6" s="5">
        <v>0.89</v>
      </c>
      <c r="N6" s="5">
        <v>2.0499999999999998</v>
      </c>
    </row>
    <row r="7" spans="1:14" ht="14.25" customHeight="1" x14ac:dyDescent="0.35">
      <c r="A7" s="4" t="s">
        <v>92</v>
      </c>
      <c r="B7" s="5">
        <v>0.22</v>
      </c>
      <c r="C7" s="5">
        <v>1.97</v>
      </c>
      <c r="D7" s="5">
        <v>4.99</v>
      </c>
      <c r="E7" s="5">
        <v>2.08</v>
      </c>
      <c r="F7" s="5">
        <v>9.6999999999999993</v>
      </c>
      <c r="G7" s="5">
        <v>15.16</v>
      </c>
      <c r="H7" s="5">
        <v>11.5</v>
      </c>
      <c r="I7" s="5">
        <v>12.25</v>
      </c>
      <c r="K7" s="9">
        <v>220.36</v>
      </c>
      <c r="M7" s="5">
        <v>0.87</v>
      </c>
      <c r="N7" s="5">
        <v>2.2999999999999998</v>
      </c>
    </row>
    <row r="8" spans="1:14" ht="14.25" customHeight="1" x14ac:dyDescent="0.35">
      <c r="A8" s="4" t="s">
        <v>93</v>
      </c>
      <c r="B8" s="5">
        <v>0.5</v>
      </c>
      <c r="C8" s="5">
        <v>3.87</v>
      </c>
      <c r="D8" s="5">
        <v>5.43</v>
      </c>
      <c r="E8" s="5">
        <v>1.74</v>
      </c>
      <c r="F8" s="5">
        <v>5.46</v>
      </c>
      <c r="G8" s="5">
        <v>13.85</v>
      </c>
      <c r="H8" s="5">
        <v>12.48</v>
      </c>
      <c r="I8" s="5">
        <v>14.87</v>
      </c>
      <c r="K8" s="9">
        <v>2570.5700000000002</v>
      </c>
      <c r="M8" s="5">
        <v>0.82</v>
      </c>
      <c r="N8" s="5">
        <v>1.98</v>
      </c>
    </row>
    <row r="9" spans="1:14" ht="14.25" customHeight="1" x14ac:dyDescent="0.35">
      <c r="A9" s="4" t="s">
        <v>94</v>
      </c>
      <c r="B9" s="5">
        <v>-0.37</v>
      </c>
      <c r="C9" s="5">
        <v>2.5299999999999998</v>
      </c>
      <c r="D9" s="5">
        <v>5.67</v>
      </c>
      <c r="E9" s="5">
        <v>-0.99</v>
      </c>
      <c r="F9" s="5">
        <v>1.59</v>
      </c>
      <c r="G9" s="5">
        <v>12.44</v>
      </c>
      <c r="H9" s="5">
        <v>10.83</v>
      </c>
      <c r="I9" s="5">
        <v>14.13</v>
      </c>
      <c r="K9" s="9">
        <v>16692.310000000001</v>
      </c>
      <c r="M9" s="5">
        <v>0.56999999999999995</v>
      </c>
      <c r="N9" s="5">
        <v>1.68</v>
      </c>
    </row>
    <row r="10" spans="1:14" ht="14.25" customHeight="1" x14ac:dyDescent="0.35">
      <c r="A10" s="4" t="s">
        <v>95</v>
      </c>
      <c r="B10" s="5">
        <v>-0.56000000000000005</v>
      </c>
      <c r="C10" s="5">
        <v>1.31</v>
      </c>
      <c r="D10" s="5">
        <v>2.92</v>
      </c>
      <c r="E10" s="5">
        <v>-2.15</v>
      </c>
      <c r="F10" s="5">
        <v>0.24</v>
      </c>
      <c r="G10" s="5">
        <v>12.61</v>
      </c>
      <c r="H10" s="5">
        <v>10.85</v>
      </c>
      <c r="I10" s="5">
        <v>11.76</v>
      </c>
      <c r="K10" s="9">
        <v>7190.45</v>
      </c>
      <c r="M10" s="5">
        <v>0.86</v>
      </c>
      <c r="N10" s="5">
        <v>1.83</v>
      </c>
    </row>
    <row r="11" spans="1:14" ht="14.25" customHeight="1" x14ac:dyDescent="0.35">
      <c r="A11" s="4" t="s">
        <v>96</v>
      </c>
      <c r="B11" s="5">
        <v>-0.42</v>
      </c>
      <c r="C11" s="5">
        <v>2.41</v>
      </c>
      <c r="D11" s="5">
        <v>5.58</v>
      </c>
      <c r="E11" s="5">
        <v>-0.91</v>
      </c>
      <c r="F11" s="5">
        <v>3.66</v>
      </c>
      <c r="G11" s="5">
        <v>12.12</v>
      </c>
      <c r="H11" s="5">
        <v>11.7</v>
      </c>
      <c r="I11" s="5">
        <v>14.11</v>
      </c>
      <c r="K11" s="9">
        <v>1434.27</v>
      </c>
      <c r="M11" s="5">
        <v>0.59</v>
      </c>
      <c r="N11" s="5">
        <v>2.12</v>
      </c>
    </row>
    <row r="12" spans="1:14" ht="14.25" customHeight="1" x14ac:dyDescent="0.35">
      <c r="A12" s="4" t="s">
        <v>97</v>
      </c>
      <c r="B12" s="5">
        <v>-0.3</v>
      </c>
      <c r="C12" s="5">
        <v>3.05</v>
      </c>
      <c r="D12" s="5">
        <v>6.84</v>
      </c>
      <c r="E12" s="5">
        <v>7.0000000000000007E-2</v>
      </c>
      <c r="F12" s="5">
        <v>2.75</v>
      </c>
      <c r="G12" s="5">
        <v>11.85</v>
      </c>
      <c r="H12" s="5">
        <v>9.74</v>
      </c>
      <c r="I12" s="5">
        <v>12.3</v>
      </c>
      <c r="K12" s="9">
        <v>7255.73</v>
      </c>
      <c r="M12" s="5">
        <v>1.17</v>
      </c>
      <c r="N12" s="5">
        <v>1.88</v>
      </c>
    </row>
    <row r="13" spans="1:14" ht="14.25" customHeight="1" x14ac:dyDescent="0.35">
      <c r="A13" s="4" t="s">
        <v>98</v>
      </c>
      <c r="B13" s="5">
        <v>-0.32</v>
      </c>
      <c r="C13" s="5">
        <v>2.12</v>
      </c>
      <c r="D13" s="5">
        <v>5.37</v>
      </c>
      <c r="E13" s="5">
        <v>-0.54</v>
      </c>
      <c r="F13" s="5">
        <v>3.88</v>
      </c>
      <c r="G13" s="5">
        <v>13.06</v>
      </c>
      <c r="H13" s="5">
        <v>10.9</v>
      </c>
      <c r="I13" s="5">
        <v>12.45</v>
      </c>
      <c r="K13" s="9">
        <v>132.25</v>
      </c>
      <c r="M13" s="5">
        <v>1.26</v>
      </c>
      <c r="N13" s="5">
        <v>2.46</v>
      </c>
    </row>
    <row r="14" spans="1:14" ht="14.25" customHeight="1" x14ac:dyDescent="0.35">
      <c r="A14" s="4" t="s">
        <v>99</v>
      </c>
      <c r="B14" s="5">
        <v>-0.4</v>
      </c>
      <c r="C14" s="5">
        <v>1.45</v>
      </c>
      <c r="D14" s="5">
        <v>6.01</v>
      </c>
      <c r="E14" s="5">
        <v>-1.59</v>
      </c>
      <c r="F14" s="5">
        <v>2.62</v>
      </c>
      <c r="G14" s="5">
        <v>11.33</v>
      </c>
      <c r="H14" s="5">
        <v>12.72</v>
      </c>
      <c r="I14" s="5">
        <v>13.25</v>
      </c>
      <c r="K14" s="9">
        <v>39023.69</v>
      </c>
      <c r="M14" s="5">
        <v>1.03</v>
      </c>
      <c r="N14" s="5">
        <v>1.61</v>
      </c>
    </row>
    <row r="15" spans="1:14" ht="14.25" customHeight="1" x14ac:dyDescent="0.35">
      <c r="A15" s="4" t="s">
        <v>100</v>
      </c>
      <c r="B15" s="5">
        <v>-0.52</v>
      </c>
      <c r="C15" s="5">
        <v>3.06</v>
      </c>
      <c r="D15" s="5">
        <v>6.78</v>
      </c>
      <c r="E15" s="5">
        <v>-1.34</v>
      </c>
      <c r="F15" s="5">
        <v>4.33</v>
      </c>
      <c r="G15" s="5">
        <v>12.25</v>
      </c>
      <c r="H15" s="5">
        <v>10.86</v>
      </c>
      <c r="I15" s="5">
        <v>12.66</v>
      </c>
      <c r="K15" s="9">
        <v>1814.23</v>
      </c>
      <c r="M15" s="5">
        <v>1.29</v>
      </c>
      <c r="N15" s="5">
        <v>2.16</v>
      </c>
    </row>
    <row r="16" spans="1:14" ht="14.25" customHeight="1" x14ac:dyDescent="0.35">
      <c r="A16" s="4" t="s">
        <v>101</v>
      </c>
      <c r="B16" s="5">
        <v>-0.47</v>
      </c>
      <c r="C16" s="5">
        <v>1.43</v>
      </c>
      <c r="D16" s="5">
        <v>3.9</v>
      </c>
      <c r="E16" s="5">
        <v>-2.4900000000000002</v>
      </c>
      <c r="F16" s="5">
        <v>0.76</v>
      </c>
      <c r="G16" s="5">
        <v>13.15</v>
      </c>
      <c r="H16" s="5">
        <v>12.91</v>
      </c>
      <c r="I16" s="5">
        <v>14.77</v>
      </c>
      <c r="K16" s="9">
        <v>79420.740000000005</v>
      </c>
      <c r="M16" s="5">
        <v>0.87</v>
      </c>
      <c r="N16" s="5">
        <v>1.42</v>
      </c>
    </row>
    <row r="17" spans="1:14" ht="14.25" customHeight="1" x14ac:dyDescent="0.35">
      <c r="A17" s="4" t="s">
        <v>102</v>
      </c>
      <c r="B17" s="5">
        <v>0.17</v>
      </c>
      <c r="C17" s="5">
        <v>3.18</v>
      </c>
      <c r="D17" s="5">
        <v>9.41</v>
      </c>
      <c r="E17" s="5">
        <v>5.82</v>
      </c>
      <c r="F17" s="5">
        <v>9.1999999999999993</v>
      </c>
      <c r="G17" s="5">
        <v>15.96</v>
      </c>
      <c r="H17" s="5">
        <v>13.05</v>
      </c>
      <c r="I17" s="5">
        <v>15.17</v>
      </c>
      <c r="K17" s="9">
        <v>1847.38</v>
      </c>
      <c r="M17" s="5">
        <v>0.72</v>
      </c>
      <c r="N17" s="5">
        <v>2.04</v>
      </c>
    </row>
    <row r="18" spans="1:14" ht="14.25" customHeight="1" x14ac:dyDescent="0.35">
      <c r="A18" s="4" t="s">
        <v>103</v>
      </c>
      <c r="B18" s="5">
        <v>-0.43</v>
      </c>
      <c r="C18" s="5">
        <v>2.21</v>
      </c>
      <c r="D18" s="5">
        <v>5.88</v>
      </c>
      <c r="E18" s="5">
        <v>0.39</v>
      </c>
      <c r="F18" s="5">
        <v>3.32</v>
      </c>
      <c r="G18" s="5">
        <v>11.96</v>
      </c>
      <c r="H18" s="5">
        <v>10.54</v>
      </c>
      <c r="I18" s="5">
        <v>12.7</v>
      </c>
      <c r="K18" s="9">
        <v>370.31</v>
      </c>
      <c r="M18" s="5">
        <v>0.52</v>
      </c>
      <c r="N18" s="5">
        <v>2.36</v>
      </c>
    </row>
    <row r="19" spans="1:14" ht="14.25" customHeight="1" x14ac:dyDescent="0.35">
      <c r="A19" s="4" t="s">
        <v>104</v>
      </c>
      <c r="B19" s="5">
        <v>-0.66</v>
      </c>
      <c r="C19" s="5">
        <v>2.1800000000000002</v>
      </c>
      <c r="D19" s="5">
        <v>4.05</v>
      </c>
      <c r="E19" s="5" t="s">
        <v>13</v>
      </c>
      <c r="F19" s="5" t="s">
        <v>13</v>
      </c>
      <c r="G19" s="5" t="s">
        <v>13</v>
      </c>
      <c r="H19" s="5" t="s">
        <v>13</v>
      </c>
      <c r="I19" s="5">
        <v>1.59</v>
      </c>
      <c r="K19" s="9">
        <v>42</v>
      </c>
      <c r="M19" s="5"/>
      <c r="N19" s="5"/>
    </row>
    <row r="20" spans="1:14" ht="14.25" customHeight="1" x14ac:dyDescent="0.35">
      <c r="A20" s="4" t="s">
        <v>105</v>
      </c>
      <c r="B20" s="5">
        <v>0.03</v>
      </c>
      <c r="C20" s="5">
        <v>3.23</v>
      </c>
      <c r="D20" s="5">
        <v>6.65</v>
      </c>
      <c r="E20" s="5">
        <v>0.95</v>
      </c>
      <c r="F20" s="5">
        <v>5.81</v>
      </c>
      <c r="G20" s="5">
        <v>13.24</v>
      </c>
      <c r="H20" s="5">
        <v>12.4</v>
      </c>
      <c r="I20" s="5">
        <v>12.59</v>
      </c>
      <c r="K20" s="9">
        <v>409.12</v>
      </c>
      <c r="M20" s="5">
        <v>0.93</v>
      </c>
      <c r="N20" s="5">
        <v>2.42</v>
      </c>
    </row>
    <row r="21" spans="1:14" ht="14.25" customHeight="1" x14ac:dyDescent="0.35">
      <c r="A21" s="4" t="s">
        <v>106</v>
      </c>
      <c r="B21" s="5">
        <v>-0.49</v>
      </c>
      <c r="C21" s="5">
        <v>2.17</v>
      </c>
      <c r="D21" s="5">
        <v>5.56</v>
      </c>
      <c r="E21" s="5">
        <v>-1.54</v>
      </c>
      <c r="F21" s="5">
        <v>3</v>
      </c>
      <c r="G21" s="5">
        <v>12.53</v>
      </c>
      <c r="H21" s="5">
        <v>11.24</v>
      </c>
      <c r="I21" s="5">
        <v>14.09</v>
      </c>
      <c r="K21" s="9">
        <v>10772.29</v>
      </c>
      <c r="M21" s="5">
        <v>0.63</v>
      </c>
      <c r="N21" s="5">
        <v>1.74</v>
      </c>
    </row>
    <row r="22" spans="1:14" ht="14.25" customHeight="1" x14ac:dyDescent="0.35">
      <c r="A22" s="4" t="s">
        <v>107</v>
      </c>
      <c r="B22" s="5">
        <v>-0.02</v>
      </c>
      <c r="C22" s="5">
        <v>3.23</v>
      </c>
      <c r="D22" s="5">
        <v>5.9</v>
      </c>
      <c r="E22" s="5">
        <v>-1.65</v>
      </c>
      <c r="F22" s="5">
        <v>-0.14000000000000001</v>
      </c>
      <c r="G22" s="5">
        <v>9.86</v>
      </c>
      <c r="H22" s="5">
        <v>8.4600000000000009</v>
      </c>
      <c r="I22" s="5">
        <v>12</v>
      </c>
      <c r="K22" s="9">
        <v>1362.49</v>
      </c>
      <c r="M22" s="5">
        <v>1.1399999999999999</v>
      </c>
      <c r="N22" s="5">
        <v>2.2000000000000002</v>
      </c>
    </row>
    <row r="23" spans="1:14" ht="14.25" customHeight="1" x14ac:dyDescent="0.35">
      <c r="A23" s="4" t="s">
        <v>108</v>
      </c>
      <c r="B23" s="5">
        <v>-0.35</v>
      </c>
      <c r="C23" s="5">
        <v>2.36</v>
      </c>
      <c r="D23" s="5">
        <v>5.14</v>
      </c>
      <c r="E23" s="5">
        <v>-2.91</v>
      </c>
      <c r="F23" s="5">
        <v>1.23</v>
      </c>
      <c r="G23" s="5">
        <v>11.32</v>
      </c>
      <c r="H23" s="5">
        <v>10.51</v>
      </c>
      <c r="I23" s="5">
        <v>13.6</v>
      </c>
      <c r="K23" s="9">
        <v>699.82</v>
      </c>
      <c r="M23" s="5">
        <v>0.78</v>
      </c>
      <c r="N23" s="5">
        <v>2.35</v>
      </c>
    </row>
    <row r="24" spans="1:14" ht="14.25" customHeight="1" x14ac:dyDescent="0.35">
      <c r="A24" s="4" t="s">
        <v>109</v>
      </c>
      <c r="B24" s="5">
        <v>-0.41</v>
      </c>
      <c r="C24" s="5">
        <v>2.15</v>
      </c>
      <c r="D24" s="5">
        <v>6.47</v>
      </c>
      <c r="E24" s="5">
        <v>-0.02</v>
      </c>
      <c r="F24" s="5">
        <v>3.18</v>
      </c>
      <c r="G24" s="5">
        <v>10.71</v>
      </c>
      <c r="H24" s="5">
        <v>9.8800000000000008</v>
      </c>
      <c r="I24" s="5">
        <v>15.23</v>
      </c>
      <c r="K24" s="9">
        <v>38379.269999999997</v>
      </c>
      <c r="M24" s="5">
        <v>0.57999999999999996</v>
      </c>
      <c r="N24" s="5">
        <v>1.54</v>
      </c>
    </row>
    <row r="25" spans="1:14" ht="14.25" customHeight="1" x14ac:dyDescent="0.35">
      <c r="A25" s="4" t="s">
        <v>110</v>
      </c>
      <c r="B25" s="5">
        <v>-0.9</v>
      </c>
      <c r="C25" s="5">
        <v>0.73</v>
      </c>
      <c r="D25" s="5">
        <v>5.32</v>
      </c>
      <c r="E25" s="5">
        <v>-0.3</v>
      </c>
      <c r="F25" s="5">
        <v>1.1200000000000001</v>
      </c>
      <c r="G25" s="5" t="s">
        <v>13</v>
      </c>
      <c r="H25" s="5" t="s">
        <v>13</v>
      </c>
      <c r="I25" s="5">
        <v>14.86</v>
      </c>
      <c r="K25" s="9">
        <v>3189.13</v>
      </c>
      <c r="M25" s="5">
        <v>0.84</v>
      </c>
      <c r="N25" s="5">
        <v>1.97</v>
      </c>
    </row>
    <row r="26" spans="1:14" ht="14.25" customHeight="1" x14ac:dyDescent="0.35">
      <c r="A26" s="4" t="s">
        <v>111</v>
      </c>
      <c r="B26" s="5">
        <v>-0.75</v>
      </c>
      <c r="C26" s="5">
        <v>1.45</v>
      </c>
      <c r="D26" s="5">
        <v>4.01</v>
      </c>
      <c r="E26" s="5">
        <v>-1.75</v>
      </c>
      <c r="F26" s="5">
        <v>1.41</v>
      </c>
      <c r="G26" s="5">
        <v>13.29</v>
      </c>
      <c r="H26" s="5">
        <v>15.1</v>
      </c>
      <c r="I26" s="5">
        <v>15.41</v>
      </c>
      <c r="K26" s="9">
        <v>53227.040000000001</v>
      </c>
      <c r="M26" s="5">
        <v>0.71</v>
      </c>
      <c r="N26" s="5">
        <v>1.5</v>
      </c>
    </row>
    <row r="27" spans="1:14" ht="14.25" customHeight="1" x14ac:dyDescent="0.35">
      <c r="A27" s="4" t="s">
        <v>112</v>
      </c>
      <c r="B27" s="5">
        <v>-0.71</v>
      </c>
      <c r="C27" s="5">
        <v>2</v>
      </c>
      <c r="D27" s="5">
        <v>4.2699999999999996</v>
      </c>
      <c r="E27" s="5">
        <v>-1.4</v>
      </c>
      <c r="F27" s="5" t="s">
        <v>13</v>
      </c>
      <c r="G27" s="5" t="s">
        <v>13</v>
      </c>
      <c r="H27" s="5" t="s">
        <v>13</v>
      </c>
      <c r="I27" s="5">
        <v>-2.15</v>
      </c>
      <c r="K27" s="9">
        <v>767.23</v>
      </c>
      <c r="M27" s="5">
        <v>0.14000000000000001</v>
      </c>
      <c r="N27" s="5">
        <v>0.48</v>
      </c>
    </row>
    <row r="28" spans="1:14" ht="14.25" customHeight="1" x14ac:dyDescent="0.35">
      <c r="A28" s="4" t="s">
        <v>113</v>
      </c>
      <c r="B28" s="5">
        <v>-0.57999999999999996</v>
      </c>
      <c r="C28" s="5">
        <v>2.13</v>
      </c>
      <c r="D28" s="5">
        <v>5.42</v>
      </c>
      <c r="E28" s="5">
        <v>-0.39</v>
      </c>
      <c r="F28" s="5">
        <v>1.33</v>
      </c>
      <c r="G28" s="5">
        <v>9.2200000000000006</v>
      </c>
      <c r="H28" s="5">
        <v>8.43</v>
      </c>
      <c r="I28" s="5">
        <v>12.88</v>
      </c>
      <c r="K28" s="9">
        <v>539.47</v>
      </c>
      <c r="M28" s="5">
        <v>0.86</v>
      </c>
      <c r="N28" s="5">
        <v>2.42</v>
      </c>
    </row>
    <row r="29" spans="1:14" ht="14.25" customHeight="1" x14ac:dyDescent="0.35">
      <c r="A29" s="4" t="s">
        <v>114</v>
      </c>
      <c r="B29" s="5">
        <v>-0.09</v>
      </c>
      <c r="C29" s="5">
        <v>0.56999999999999995</v>
      </c>
      <c r="D29" s="5">
        <v>8.0399999999999991</v>
      </c>
      <c r="E29" s="5">
        <v>8.2799999999999994</v>
      </c>
      <c r="F29" s="5">
        <v>11.22</v>
      </c>
      <c r="G29" s="5">
        <v>16.25</v>
      </c>
      <c r="H29" s="5" t="s">
        <v>13</v>
      </c>
      <c r="I29" s="5">
        <v>14.38</v>
      </c>
      <c r="K29" s="9">
        <v>3388.27</v>
      </c>
      <c r="M29" s="5">
        <v>0.56999999999999995</v>
      </c>
      <c r="N29" s="5">
        <v>1.96</v>
      </c>
    </row>
    <row r="30" spans="1:14" ht="14.25" customHeight="1" x14ac:dyDescent="0.35">
      <c r="A30" s="4" t="s">
        <v>115</v>
      </c>
      <c r="B30" s="5">
        <v>-0.65</v>
      </c>
      <c r="C30" s="5">
        <v>0.33</v>
      </c>
      <c r="D30" s="5">
        <v>-1.39</v>
      </c>
      <c r="E30" s="5">
        <v>-1.17</v>
      </c>
      <c r="F30" s="5">
        <v>-5.42</v>
      </c>
      <c r="G30" s="5" t="s">
        <v>13</v>
      </c>
      <c r="H30" s="5" t="s">
        <v>13</v>
      </c>
      <c r="I30" s="5">
        <v>-5.53</v>
      </c>
      <c r="K30" s="9">
        <v>102.45</v>
      </c>
      <c r="M30" s="5">
        <v>0.74</v>
      </c>
      <c r="N30" s="5">
        <v>2.38</v>
      </c>
    </row>
    <row r="31" spans="1:14" ht="14.25" customHeight="1" x14ac:dyDescent="0.35">
      <c r="A31" s="4" t="s">
        <v>116</v>
      </c>
      <c r="B31" s="5">
        <v>-0.66</v>
      </c>
      <c r="C31" s="5">
        <v>1.1399999999999999</v>
      </c>
      <c r="D31" s="5">
        <v>4.21</v>
      </c>
      <c r="E31" s="5">
        <v>-0.31</v>
      </c>
      <c r="F31" s="5">
        <v>4.3499999999999996</v>
      </c>
      <c r="G31" s="5">
        <v>11.1</v>
      </c>
      <c r="H31" s="5">
        <v>10.95</v>
      </c>
      <c r="I31" s="5">
        <v>14.47</v>
      </c>
      <c r="K31" s="9">
        <v>55063.96</v>
      </c>
      <c r="M31" s="5">
        <v>0.84</v>
      </c>
      <c r="N31" s="5">
        <v>1.52</v>
      </c>
    </row>
    <row r="32" spans="1:14" ht="14.25" customHeight="1" x14ac:dyDescent="0.35">
      <c r="A32" s="4" t="s">
        <v>117</v>
      </c>
      <c r="B32" s="5">
        <v>-0.49</v>
      </c>
      <c r="C32" s="5">
        <v>3.12</v>
      </c>
      <c r="D32" s="5">
        <v>6.3</v>
      </c>
      <c r="E32" s="5">
        <v>-0.67</v>
      </c>
      <c r="F32" s="5">
        <v>2.4900000000000002</v>
      </c>
      <c r="G32" s="5">
        <v>9.7200000000000006</v>
      </c>
      <c r="H32" s="5">
        <v>9.8699999999999992</v>
      </c>
      <c r="I32" s="5">
        <v>15.37</v>
      </c>
      <c r="K32" s="9">
        <v>3062.98</v>
      </c>
      <c r="M32" s="5">
        <v>0.73</v>
      </c>
      <c r="N32" s="5">
        <v>1.95</v>
      </c>
    </row>
    <row r="33" spans="1:14" ht="14.25" customHeight="1" x14ac:dyDescent="0.35">
      <c r="A33" s="4" t="s">
        <v>118</v>
      </c>
      <c r="B33" s="5">
        <v>-0.45</v>
      </c>
      <c r="C33" s="5">
        <v>1.65</v>
      </c>
      <c r="D33" s="5">
        <v>5.54</v>
      </c>
      <c r="E33" s="5">
        <v>0.66</v>
      </c>
      <c r="F33" s="5">
        <v>6.94</v>
      </c>
      <c r="G33" s="5">
        <v>12.5</v>
      </c>
      <c r="H33" s="5">
        <v>11.38</v>
      </c>
      <c r="I33" s="5">
        <v>13.36</v>
      </c>
      <c r="K33" s="9">
        <v>2721.33</v>
      </c>
      <c r="M33" s="5">
        <v>1.02</v>
      </c>
      <c r="N33" s="5">
        <v>2.04</v>
      </c>
    </row>
    <row r="34" spans="1:14" ht="14.25" customHeight="1" x14ac:dyDescent="0.35">
      <c r="A34" s="4" t="s">
        <v>119</v>
      </c>
      <c r="B34" s="5">
        <v>-1.05</v>
      </c>
      <c r="C34" s="5">
        <v>5.01</v>
      </c>
      <c r="D34" s="5">
        <v>8.41</v>
      </c>
      <c r="E34" s="5">
        <v>4.95</v>
      </c>
      <c r="F34" s="5">
        <v>7.95</v>
      </c>
      <c r="G34" s="5">
        <v>14.34</v>
      </c>
      <c r="H34" s="5">
        <v>11.06</v>
      </c>
      <c r="I34" s="5">
        <v>10.72</v>
      </c>
      <c r="K34" s="9">
        <v>51.88</v>
      </c>
      <c r="M34" s="5">
        <v>2.3199999999999998</v>
      </c>
      <c r="N34" s="5">
        <v>2.59</v>
      </c>
    </row>
    <row r="35" spans="1:14" ht="14.25" customHeight="1" x14ac:dyDescent="0.35">
      <c r="A35" s="4" t="s">
        <v>120</v>
      </c>
      <c r="B35" s="5">
        <v>-0.12</v>
      </c>
      <c r="C35" s="5">
        <v>1.94</v>
      </c>
      <c r="D35" s="5">
        <v>4.6100000000000003</v>
      </c>
      <c r="E35" s="5">
        <v>-0.71</v>
      </c>
      <c r="F35" s="5">
        <v>1.98</v>
      </c>
      <c r="G35" s="5">
        <v>9.98</v>
      </c>
      <c r="H35" s="5">
        <v>9.33</v>
      </c>
      <c r="I35" s="5">
        <v>10.48</v>
      </c>
      <c r="K35" s="9">
        <v>436.67</v>
      </c>
      <c r="M35" s="5">
        <v>1.75</v>
      </c>
      <c r="N35" s="5">
        <v>2.56</v>
      </c>
    </row>
    <row r="36" spans="1:14" ht="14.25" customHeight="1" x14ac:dyDescent="0.35">
      <c r="A36" s="4" t="s">
        <v>121</v>
      </c>
      <c r="B36" s="5">
        <v>-0.2</v>
      </c>
      <c r="C36" s="5">
        <v>2.33</v>
      </c>
      <c r="D36" s="5">
        <v>5.07</v>
      </c>
      <c r="E36" s="5">
        <v>-2.11</v>
      </c>
      <c r="F36" s="5">
        <v>0.44</v>
      </c>
      <c r="G36" s="5">
        <v>9.59</v>
      </c>
      <c r="H36" s="5">
        <v>8.7799999999999994</v>
      </c>
      <c r="I36" s="5">
        <v>12.75</v>
      </c>
      <c r="K36" s="9">
        <v>11975.72</v>
      </c>
      <c r="M36" s="5">
        <v>0.93</v>
      </c>
      <c r="N36" s="5">
        <v>1.76</v>
      </c>
    </row>
    <row r="37" spans="1:14" ht="14.25" customHeight="1" x14ac:dyDescent="0.35">
      <c r="A37" s="4" t="s">
        <v>122</v>
      </c>
      <c r="B37" s="5">
        <v>-0.23</v>
      </c>
      <c r="C37" s="5">
        <v>2.2200000000000002</v>
      </c>
      <c r="D37" s="5">
        <v>6.22</v>
      </c>
      <c r="E37" s="5">
        <v>0.95</v>
      </c>
      <c r="F37" s="5">
        <v>5.0199999999999996</v>
      </c>
      <c r="G37" s="5">
        <v>15.47</v>
      </c>
      <c r="H37" s="5" t="s">
        <v>13</v>
      </c>
      <c r="I37" s="5">
        <v>13.76</v>
      </c>
      <c r="K37" s="9">
        <v>1210.1199999999999</v>
      </c>
      <c r="M37" s="5">
        <v>0.7</v>
      </c>
      <c r="N37" s="5">
        <v>2.2000000000000002</v>
      </c>
    </row>
    <row r="38" spans="1:14" ht="14.25" customHeight="1" x14ac:dyDescent="0.35">
      <c r="A38" s="7" t="s">
        <v>49</v>
      </c>
      <c r="B38" s="8">
        <f t="shared" ref="B38:H38" si="0">MEDIAN(B3:B37)</f>
        <v>-0.43</v>
      </c>
      <c r="C38" s="8">
        <f t="shared" si="0"/>
        <v>2.21</v>
      </c>
      <c r="D38" s="8">
        <f t="shared" si="0"/>
        <v>5.58</v>
      </c>
      <c r="E38" s="8">
        <f t="shared" si="0"/>
        <v>-0.46500000000000002</v>
      </c>
      <c r="F38" s="8">
        <f t="shared" si="0"/>
        <v>3</v>
      </c>
      <c r="G38" s="8">
        <f t="shared" si="0"/>
        <v>12.344999999999999</v>
      </c>
      <c r="H38" s="8">
        <f t="shared" si="0"/>
        <v>10.895</v>
      </c>
      <c r="I38" s="8">
        <f>MEDIAN(I3:I37)</f>
        <v>13.25</v>
      </c>
    </row>
    <row r="39" spans="1:14" ht="14.25" customHeight="1" x14ac:dyDescent="0.35">
      <c r="A39" s="2" t="s">
        <v>50</v>
      </c>
      <c r="B39" s="5" t="s">
        <v>13</v>
      </c>
      <c r="C39" s="5" t="s">
        <v>13</v>
      </c>
      <c r="D39" s="5" t="s">
        <v>13</v>
      </c>
      <c r="E39" s="5" t="s">
        <v>13</v>
      </c>
      <c r="F39" s="5" t="s">
        <v>13</v>
      </c>
      <c r="G39" s="5" t="s">
        <v>13</v>
      </c>
      <c r="H39" s="5" t="s">
        <v>13</v>
      </c>
      <c r="I39" s="5" t="s">
        <v>13</v>
      </c>
    </row>
    <row r="40" spans="1:14" ht="14.25" customHeight="1" x14ac:dyDescent="0.35">
      <c r="A40" s="4" t="s">
        <v>123</v>
      </c>
      <c r="B40" s="5">
        <v>-0.73</v>
      </c>
      <c r="C40" s="5">
        <v>1.74</v>
      </c>
      <c r="D40" s="5">
        <v>3.53</v>
      </c>
      <c r="E40" s="5">
        <v>-2.16</v>
      </c>
      <c r="F40" s="5">
        <v>1.18</v>
      </c>
      <c r="G40" s="5">
        <v>9.6999999999999993</v>
      </c>
      <c r="H40" s="5">
        <v>8.82</v>
      </c>
      <c r="I40" s="5"/>
    </row>
    <row r="41" spans="1:14" ht="14.25" customHeight="1" x14ac:dyDescent="0.35">
      <c r="A41" s="4" t="s">
        <v>124</v>
      </c>
      <c r="B41" s="5">
        <v>-0.83</v>
      </c>
      <c r="C41" s="5">
        <v>1.31</v>
      </c>
      <c r="D41" s="5">
        <v>2.86</v>
      </c>
      <c r="E41" s="5">
        <v>-4.3099999999999996</v>
      </c>
      <c r="F41" s="5">
        <v>-1.08</v>
      </c>
      <c r="G41" s="5">
        <v>7.82</v>
      </c>
      <c r="H41" s="5">
        <v>8.06</v>
      </c>
      <c r="I41" s="5"/>
    </row>
  </sheetData>
  <mergeCells count="1">
    <mergeCell ref="M1:N1"/>
  </mergeCells>
  <conditionalFormatting sqref="F3:F37">
    <cfRule type="expression" dxfId="68" priority="2">
      <formula>AND(ISNUMBER(F3),F3&gt;MEDIAN($F$3:$F$37))</formula>
    </cfRule>
  </conditionalFormatting>
  <conditionalFormatting sqref="G3:G37">
    <cfRule type="expression" dxfId="67" priority="3">
      <formula>AND(ISNUMBER(G3),G3&gt;MEDIAN($G$3:$G$37))</formula>
    </cfRule>
  </conditionalFormatting>
  <conditionalFormatting sqref="H3:H37">
    <cfRule type="expression" dxfId="66" priority="4">
      <formula>AND(ISNUMBER(H3),H3&gt;MEDIAN($H$3:$H$37))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zoomScale="80" zoomScaleNormal="80" workbookViewId="0">
      <selection activeCell="J10" sqref="J10"/>
    </sheetView>
  </sheetViews>
  <sheetFormatPr defaultColWidth="8.54296875" defaultRowHeight="14.5" x14ac:dyDescent="0.35"/>
  <cols>
    <col min="1" max="1" width="34" customWidth="1"/>
    <col min="2" max="2" width="6.7265625" customWidth="1"/>
    <col min="3" max="3" width="7.26953125" customWidth="1"/>
    <col min="4" max="5" width="8.1796875" customWidth="1"/>
    <col min="6" max="6" width="5.81640625" customWidth="1"/>
    <col min="7" max="8" width="6.7265625" customWidth="1"/>
    <col min="9" max="9" width="14" customWidth="1"/>
    <col min="10" max="10" width="2" customWidth="1"/>
    <col min="11" max="11" width="12.90625" customWidth="1"/>
    <col min="12" max="12" width="1.816406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46174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125</v>
      </c>
      <c r="B3" s="5">
        <v>-0.24</v>
      </c>
      <c r="C3" s="5">
        <v>3.03</v>
      </c>
      <c r="D3" s="5">
        <v>8.09</v>
      </c>
      <c r="E3" s="5">
        <v>3.06</v>
      </c>
      <c r="F3" s="5">
        <v>3.68</v>
      </c>
      <c r="G3" s="5">
        <v>17.04</v>
      </c>
      <c r="H3" s="5">
        <v>14.6</v>
      </c>
      <c r="I3" s="5">
        <v>17.79</v>
      </c>
      <c r="K3" s="10">
        <v>19995.66</v>
      </c>
      <c r="M3" s="5">
        <v>0.48</v>
      </c>
      <c r="N3" s="5">
        <v>1.41</v>
      </c>
    </row>
    <row r="4" spans="1:14" ht="14.25" customHeight="1" x14ac:dyDescent="0.35">
      <c r="A4" s="4" t="s">
        <v>126</v>
      </c>
      <c r="B4" s="5">
        <v>-0.67</v>
      </c>
      <c r="C4" s="5">
        <v>1.79</v>
      </c>
      <c r="D4" s="5">
        <v>6.09</v>
      </c>
      <c r="E4" s="5">
        <v>0.53</v>
      </c>
      <c r="F4" s="5">
        <v>6.13</v>
      </c>
      <c r="G4" s="5">
        <v>17.809999999999999</v>
      </c>
      <c r="H4" s="5">
        <v>15.94</v>
      </c>
      <c r="I4" s="5">
        <v>16.420000000000002</v>
      </c>
      <c r="K4" s="10">
        <v>5331.37</v>
      </c>
      <c r="M4" s="5">
        <v>0.65</v>
      </c>
      <c r="N4" s="5">
        <v>1.88</v>
      </c>
    </row>
    <row r="5" spans="1:14" ht="14.25" customHeight="1" x14ac:dyDescent="0.35">
      <c r="A5" s="4" t="s">
        <v>127</v>
      </c>
      <c r="B5" s="5">
        <v>-0.02</v>
      </c>
      <c r="C5" s="5">
        <v>0.78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>
        <v>5.55</v>
      </c>
      <c r="K5" s="10">
        <v>315.79000000000002</v>
      </c>
      <c r="M5" s="5">
        <v>0.69</v>
      </c>
      <c r="N5" s="5">
        <v>2.1</v>
      </c>
    </row>
    <row r="6" spans="1:14" ht="14.25" customHeight="1" x14ac:dyDescent="0.35">
      <c r="A6" s="4" t="s">
        <v>128</v>
      </c>
      <c r="B6" s="5">
        <v>-0.53</v>
      </c>
      <c r="C6" s="5">
        <v>1.35</v>
      </c>
      <c r="D6" s="5">
        <v>3.05</v>
      </c>
      <c r="E6" s="5">
        <v>-1.71</v>
      </c>
      <c r="F6" s="5">
        <v>2.25</v>
      </c>
      <c r="G6" s="5">
        <v>13.48</v>
      </c>
      <c r="H6" s="5">
        <v>16.850000000000001</v>
      </c>
      <c r="I6" s="5">
        <v>15.47</v>
      </c>
      <c r="K6" s="10">
        <v>47361.68</v>
      </c>
      <c r="M6" s="5">
        <v>0.85</v>
      </c>
      <c r="N6" s="5">
        <v>1.6</v>
      </c>
    </row>
    <row r="7" spans="1:14" ht="14.25" customHeight="1" x14ac:dyDescent="0.35">
      <c r="A7" s="7" t="s">
        <v>49</v>
      </c>
      <c r="B7" s="8">
        <f t="shared" ref="B7:I7" si="0">MEDIAN(B3:B6)</f>
        <v>-0.38500000000000001</v>
      </c>
      <c r="C7" s="8">
        <f t="shared" si="0"/>
        <v>1.57</v>
      </c>
      <c r="D7" s="8">
        <f t="shared" si="0"/>
        <v>6.09</v>
      </c>
      <c r="E7" s="8">
        <f t="shared" si="0"/>
        <v>0.53</v>
      </c>
      <c r="F7" s="8">
        <f t="shared" si="0"/>
        <v>3.68</v>
      </c>
      <c r="G7" s="8">
        <f t="shared" si="0"/>
        <v>17.04</v>
      </c>
      <c r="H7" s="8">
        <f t="shared" si="0"/>
        <v>15.94</v>
      </c>
      <c r="I7" s="8">
        <f t="shared" si="0"/>
        <v>15.945</v>
      </c>
    </row>
    <row r="8" spans="1:14" ht="14.25" customHeight="1" x14ac:dyDescent="0.35">
      <c r="A8" s="2" t="s">
        <v>50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</row>
    <row r="9" spans="1:14" ht="14.25" customHeight="1" x14ac:dyDescent="0.35">
      <c r="A9" s="4" t="s">
        <v>129</v>
      </c>
      <c r="B9" s="5">
        <v>-0.48</v>
      </c>
      <c r="C9" s="5">
        <v>1.92</v>
      </c>
      <c r="D9" s="5">
        <v>4.93</v>
      </c>
      <c r="E9" s="5">
        <v>1.85</v>
      </c>
      <c r="F9" s="5">
        <v>4.99</v>
      </c>
      <c r="G9" s="5">
        <v>13</v>
      </c>
      <c r="H9" s="5">
        <v>12.02</v>
      </c>
      <c r="I9" s="5"/>
    </row>
    <row r="13" spans="1:14" ht="14.25" customHeight="1" x14ac:dyDescent="0.35">
      <c r="C13" s="11"/>
      <c r="D13" s="11"/>
    </row>
  </sheetData>
  <mergeCells count="1">
    <mergeCell ref="M1:N1"/>
  </mergeCells>
  <conditionalFormatting sqref="F3:F6">
    <cfRule type="expression" dxfId="65" priority="2">
      <formula>AND(ISNUMBER(F3),F3&gt;MEDIAN($F$3:$F$6))</formula>
    </cfRule>
  </conditionalFormatting>
  <conditionalFormatting sqref="G3:G6">
    <cfRule type="expression" dxfId="64" priority="3">
      <formula>AND(ISNUMBER(G3),G3&gt;MEDIAN($G$3:$G$6))</formula>
    </cfRule>
  </conditionalFormatting>
  <conditionalFormatting sqref="H3:H6">
    <cfRule type="expression" dxfId="63" priority="4">
      <formula>AND(ISNUMBER(H3),H3&gt;MEDIAN($H$3:$H$6))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zoomScale="80" zoomScaleNormal="80" workbookViewId="0">
      <selection activeCell="H10" sqref="H10"/>
    </sheetView>
  </sheetViews>
  <sheetFormatPr defaultColWidth="8.54296875" defaultRowHeight="14.5" x14ac:dyDescent="0.35"/>
  <cols>
    <col min="1" max="1" width="55.269531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26953125" customWidth="1"/>
    <col min="11" max="11" width="12.90625" customWidth="1"/>
    <col min="12" max="12" width="3.453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130</v>
      </c>
      <c r="B3" s="5">
        <v>-0.14000000000000001</v>
      </c>
      <c r="C3" s="5">
        <v>3.72</v>
      </c>
      <c r="D3" s="5">
        <v>2.63</v>
      </c>
      <c r="E3" s="5">
        <v>1.87</v>
      </c>
      <c r="F3" s="5">
        <v>8.0299999999999994</v>
      </c>
      <c r="G3" s="5">
        <v>15.21</v>
      </c>
      <c r="H3" s="5">
        <v>14.72</v>
      </c>
      <c r="I3" s="5">
        <v>13.16</v>
      </c>
      <c r="K3" s="6">
        <v>1436.81</v>
      </c>
      <c r="M3" s="5">
        <v>1.35</v>
      </c>
      <c r="N3" s="5">
        <v>2.2000000000000002</v>
      </c>
    </row>
    <row r="4" spans="1:14" ht="14.25" customHeight="1" x14ac:dyDescent="0.35">
      <c r="A4" s="4" t="s">
        <v>131</v>
      </c>
      <c r="B4" s="5">
        <v>-0.47</v>
      </c>
      <c r="C4" s="5">
        <v>3.25</v>
      </c>
      <c r="D4" s="5">
        <v>4.99</v>
      </c>
      <c r="E4" s="5">
        <v>2.58</v>
      </c>
      <c r="F4" s="5">
        <v>7.11</v>
      </c>
      <c r="G4" s="5" t="s">
        <v>13</v>
      </c>
      <c r="H4" s="5" t="s">
        <v>13</v>
      </c>
      <c r="I4" s="5">
        <v>0.83</v>
      </c>
      <c r="K4" s="6">
        <v>613.16</v>
      </c>
      <c r="M4" s="5">
        <v>1.1399999999999999</v>
      </c>
      <c r="N4" s="5">
        <v>2.35</v>
      </c>
    </row>
    <row r="5" spans="1:14" ht="14.25" customHeight="1" x14ac:dyDescent="0.35">
      <c r="A5" s="4" t="s">
        <v>132</v>
      </c>
      <c r="B5" s="5">
        <v>0.17</v>
      </c>
      <c r="C5" s="5">
        <v>2.89</v>
      </c>
      <c r="D5" s="5">
        <v>2.2999999999999998</v>
      </c>
      <c r="E5" s="5">
        <v>-1</v>
      </c>
      <c r="F5" s="5">
        <v>3.75</v>
      </c>
      <c r="G5" s="5">
        <v>13.74</v>
      </c>
      <c r="H5" s="5">
        <v>13.77</v>
      </c>
      <c r="I5" s="5">
        <v>14.79</v>
      </c>
      <c r="K5" s="6">
        <v>2285.23</v>
      </c>
      <c r="M5" s="5">
        <v>1.28</v>
      </c>
      <c r="N5" s="5">
        <v>2.12</v>
      </c>
    </row>
    <row r="6" spans="1:14" ht="14.25" customHeight="1" x14ac:dyDescent="0.35">
      <c r="A6" s="4" t="s">
        <v>133</v>
      </c>
      <c r="B6" s="5">
        <v>-0.52</v>
      </c>
      <c r="C6" s="5">
        <v>2.21</v>
      </c>
      <c r="D6" s="5">
        <v>4.82</v>
      </c>
      <c r="E6" s="5">
        <v>2.33</v>
      </c>
      <c r="F6" s="5">
        <v>4.41</v>
      </c>
      <c r="G6" s="5">
        <v>13.71</v>
      </c>
      <c r="H6" s="5">
        <v>15.58</v>
      </c>
      <c r="I6" s="5">
        <v>19.36</v>
      </c>
      <c r="K6" s="6">
        <v>5655.56</v>
      </c>
      <c r="M6" s="5">
        <v>0.8</v>
      </c>
      <c r="N6" s="5">
        <v>1.86</v>
      </c>
    </row>
    <row r="7" spans="1:14" ht="14.25" customHeight="1" x14ac:dyDescent="0.35">
      <c r="A7" s="4" t="s">
        <v>134</v>
      </c>
      <c r="B7" s="5">
        <v>-0.66</v>
      </c>
      <c r="C7" s="5">
        <v>0.67</v>
      </c>
      <c r="D7" s="5">
        <v>2.61</v>
      </c>
      <c r="E7" s="5">
        <v>-1.1499999999999999</v>
      </c>
      <c r="F7" s="5">
        <v>4.33</v>
      </c>
      <c r="G7" s="5">
        <v>18.45</v>
      </c>
      <c r="H7" s="5">
        <v>18.48</v>
      </c>
      <c r="I7" s="5">
        <v>15.82</v>
      </c>
      <c r="K7" s="6">
        <v>6629.59</v>
      </c>
      <c r="M7" s="5">
        <v>0.59</v>
      </c>
      <c r="N7" s="5">
        <v>1.82</v>
      </c>
    </row>
    <row r="8" spans="1:14" ht="14.25" customHeight="1" x14ac:dyDescent="0.35">
      <c r="A8" s="4" t="s">
        <v>135</v>
      </c>
      <c r="B8" s="5">
        <v>-0.57999999999999996</v>
      </c>
      <c r="C8" s="5">
        <v>1.89</v>
      </c>
      <c r="D8" s="5">
        <v>4.2300000000000004</v>
      </c>
      <c r="E8" s="5">
        <v>-0.77</v>
      </c>
      <c r="F8" s="5" t="s">
        <v>13</v>
      </c>
      <c r="G8" s="5" t="s">
        <v>13</v>
      </c>
      <c r="H8" s="5" t="s">
        <v>13</v>
      </c>
      <c r="I8" s="5">
        <v>-0.79</v>
      </c>
      <c r="K8" s="6">
        <v>235.47</v>
      </c>
      <c r="M8" s="5">
        <v>0.92</v>
      </c>
      <c r="N8" s="5">
        <v>2.42</v>
      </c>
    </row>
    <row r="9" spans="1:14" ht="14.25" customHeight="1" x14ac:dyDescent="0.35">
      <c r="A9" s="4" t="s">
        <v>136</v>
      </c>
      <c r="B9" s="5">
        <v>0.64</v>
      </c>
      <c r="C9" s="5">
        <v>2.96</v>
      </c>
      <c r="D9" s="5">
        <v>7.95</v>
      </c>
      <c r="E9" s="5">
        <v>9.26</v>
      </c>
      <c r="F9" s="5">
        <v>12.58</v>
      </c>
      <c r="G9" s="5">
        <v>21.43</v>
      </c>
      <c r="H9" s="5">
        <v>16.989999999999998</v>
      </c>
      <c r="I9" s="5">
        <v>18.420000000000002</v>
      </c>
      <c r="K9" s="6">
        <v>718.28</v>
      </c>
      <c r="M9" s="5">
        <v>0.8</v>
      </c>
      <c r="N9" s="5">
        <v>2.36</v>
      </c>
    </row>
    <row r="10" spans="1:14" ht="14.25" customHeight="1" x14ac:dyDescent="0.35">
      <c r="A10" s="4" t="s">
        <v>137</v>
      </c>
      <c r="B10" s="5">
        <v>-0.36</v>
      </c>
      <c r="C10" s="5">
        <v>3.38</v>
      </c>
      <c r="D10" s="5">
        <v>6.83</v>
      </c>
      <c r="E10" s="5">
        <v>2.9</v>
      </c>
      <c r="F10" s="5">
        <v>8.9499999999999993</v>
      </c>
      <c r="G10" s="5">
        <v>13.46</v>
      </c>
      <c r="H10" s="5" t="s">
        <v>13</v>
      </c>
      <c r="I10" s="5">
        <v>15.69</v>
      </c>
      <c r="K10" s="6">
        <v>8473.81</v>
      </c>
      <c r="M10" s="5">
        <v>0.85</v>
      </c>
      <c r="N10" s="5">
        <v>1.81</v>
      </c>
    </row>
    <row r="11" spans="1:14" ht="14.25" customHeight="1" x14ac:dyDescent="0.35">
      <c r="A11" s="4" t="s">
        <v>138</v>
      </c>
      <c r="B11" s="5">
        <v>-0.52</v>
      </c>
      <c r="C11" s="5">
        <v>1.91</v>
      </c>
      <c r="D11" s="5">
        <v>1.62</v>
      </c>
      <c r="E11" s="5">
        <v>-2.58</v>
      </c>
      <c r="F11" s="5">
        <v>1.79</v>
      </c>
      <c r="G11" s="5">
        <v>12.15</v>
      </c>
      <c r="H11" s="5">
        <v>11.11</v>
      </c>
      <c r="I11" s="5">
        <v>13.41</v>
      </c>
      <c r="K11" s="6">
        <v>819.54</v>
      </c>
      <c r="M11" s="5">
        <v>1.1000000000000001</v>
      </c>
      <c r="N11" s="5">
        <v>2.31</v>
      </c>
    </row>
    <row r="12" spans="1:14" ht="14.25" customHeight="1" x14ac:dyDescent="0.35">
      <c r="A12" s="4" t="s">
        <v>139</v>
      </c>
      <c r="B12" s="5">
        <v>0.27</v>
      </c>
      <c r="C12" s="5">
        <v>2.9</v>
      </c>
      <c r="D12" s="5">
        <v>5.79</v>
      </c>
      <c r="E12" s="5">
        <v>8.4600000000000009</v>
      </c>
      <c r="F12" s="5">
        <v>16.260000000000002</v>
      </c>
      <c r="G12" s="5">
        <v>17.05</v>
      </c>
      <c r="H12" s="5">
        <v>15.46</v>
      </c>
      <c r="I12" s="5">
        <v>16.23</v>
      </c>
      <c r="K12" s="6">
        <v>1097.6500000000001</v>
      </c>
      <c r="M12" s="5">
        <v>0.65</v>
      </c>
      <c r="N12" s="5">
        <v>2.2200000000000002</v>
      </c>
    </row>
    <row r="13" spans="1:14" ht="14.25" customHeight="1" x14ac:dyDescent="0.35">
      <c r="A13" s="4" t="s">
        <v>140</v>
      </c>
      <c r="B13" s="5">
        <v>-0.47</v>
      </c>
      <c r="C13" s="5">
        <v>1.59</v>
      </c>
      <c r="D13" s="5">
        <v>3.1</v>
      </c>
      <c r="E13" s="5">
        <v>-0.91</v>
      </c>
      <c r="F13" s="5">
        <v>3.41</v>
      </c>
      <c r="G13" s="5">
        <v>15.16</v>
      </c>
      <c r="H13" s="5">
        <v>12.5</v>
      </c>
      <c r="I13" s="5">
        <v>13.45</v>
      </c>
      <c r="K13" s="6">
        <v>3749.04</v>
      </c>
      <c r="M13" s="5">
        <v>1.46</v>
      </c>
      <c r="N13" s="5">
        <v>2.0299999999999998</v>
      </c>
    </row>
    <row r="14" spans="1:14" ht="14.25" customHeight="1" x14ac:dyDescent="0.35">
      <c r="A14" s="7" t="s">
        <v>49</v>
      </c>
      <c r="B14" s="8">
        <f t="shared" ref="B14:I14" si="0">MEDIAN(B3:B13)</f>
        <v>-0.47</v>
      </c>
      <c r="C14" s="8">
        <f t="shared" si="0"/>
        <v>2.89</v>
      </c>
      <c r="D14" s="8">
        <f t="shared" si="0"/>
        <v>4.2300000000000004</v>
      </c>
      <c r="E14" s="8">
        <f t="shared" si="0"/>
        <v>1.87</v>
      </c>
      <c r="F14" s="8">
        <f t="shared" si="0"/>
        <v>5.76</v>
      </c>
      <c r="G14" s="8">
        <f t="shared" si="0"/>
        <v>15.16</v>
      </c>
      <c r="H14" s="8">
        <f t="shared" si="0"/>
        <v>15.09</v>
      </c>
      <c r="I14" s="8">
        <f t="shared" si="0"/>
        <v>14.79</v>
      </c>
    </row>
    <row r="15" spans="1:14" ht="14.25" customHeight="1" x14ac:dyDescent="0.35">
      <c r="A15" s="2" t="s">
        <v>50</v>
      </c>
      <c r="B15" s="5" t="s">
        <v>13</v>
      </c>
      <c r="C15" s="5" t="s">
        <v>13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  <c r="I15" s="5" t="s">
        <v>13</v>
      </c>
    </row>
    <row r="16" spans="1:14" ht="14.25" customHeight="1" x14ac:dyDescent="0.35">
      <c r="A16" s="4" t="s">
        <v>141</v>
      </c>
      <c r="B16" s="5">
        <v>-0.49</v>
      </c>
      <c r="C16" s="5">
        <v>1.7</v>
      </c>
      <c r="D16" s="5">
        <v>4.34</v>
      </c>
      <c r="E16" s="5">
        <v>1.2</v>
      </c>
      <c r="F16" s="5">
        <v>4.03</v>
      </c>
      <c r="G16" s="5">
        <v>11.92</v>
      </c>
      <c r="H16" s="5">
        <v>10.89</v>
      </c>
      <c r="I16" s="5"/>
    </row>
    <row r="17" spans="1:9" ht="14.25" customHeight="1" x14ac:dyDescent="0.35">
      <c r="A17" s="4" t="s">
        <v>129</v>
      </c>
      <c r="B17" s="5">
        <v>-0.48</v>
      </c>
      <c r="C17" s="5">
        <v>1.92</v>
      </c>
      <c r="D17" s="5">
        <v>4.93</v>
      </c>
      <c r="E17" s="5">
        <v>1.85</v>
      </c>
      <c r="F17" s="5">
        <v>4.99</v>
      </c>
      <c r="G17" s="5">
        <v>13</v>
      </c>
      <c r="H17" s="5">
        <v>12.02</v>
      </c>
      <c r="I17" s="5"/>
    </row>
  </sheetData>
  <mergeCells count="1">
    <mergeCell ref="M1:N1"/>
  </mergeCells>
  <conditionalFormatting sqref="F3:F13">
    <cfRule type="expression" dxfId="62" priority="2">
      <formula>AND(ISNUMBER(F3),F3&gt;MEDIAN($F$3:$F$13))</formula>
    </cfRule>
  </conditionalFormatting>
  <conditionalFormatting sqref="G3:G13">
    <cfRule type="expression" dxfId="61" priority="3">
      <formula>AND(ISNUMBER(G3),G3&gt;MEDIAN($G$3:$G$13))</formula>
    </cfRule>
  </conditionalFormatting>
  <conditionalFormatting sqref="H3:H13">
    <cfRule type="expression" dxfId="60" priority="4">
      <formula>AND(ISNUMBER(H3),H3&gt;MEDIAN($H$3:$H$13))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2"/>
  <sheetViews>
    <sheetView topLeftCell="A13" zoomScale="70" zoomScaleNormal="70" workbookViewId="0">
      <selection activeCell="I44" sqref="I44"/>
    </sheetView>
  </sheetViews>
  <sheetFormatPr defaultColWidth="8.54296875" defaultRowHeight="14.5" x14ac:dyDescent="0.35"/>
  <cols>
    <col min="1" max="1" width="4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1.7265625" customWidth="1"/>
    <col min="11" max="11" width="12.90625" customWidth="1"/>
    <col min="12" max="12" width="2.36328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K1" s="11"/>
      <c r="L1" s="11"/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142</v>
      </c>
      <c r="B3" s="5">
        <v>-0.44</v>
      </c>
      <c r="C3" s="5">
        <v>1.48</v>
      </c>
      <c r="D3" s="5">
        <v>5.84</v>
      </c>
      <c r="E3" s="5">
        <v>1.78</v>
      </c>
      <c r="F3" s="5">
        <v>5.1100000000000003</v>
      </c>
      <c r="G3" s="5">
        <v>13.25</v>
      </c>
      <c r="H3" s="5">
        <v>9.64</v>
      </c>
      <c r="I3" s="5">
        <v>13.9</v>
      </c>
      <c r="K3" s="6">
        <v>14466.88</v>
      </c>
      <c r="M3" s="5">
        <v>0.96</v>
      </c>
      <c r="N3" s="5">
        <v>1.69</v>
      </c>
    </row>
    <row r="4" spans="1:14" ht="14.25" customHeight="1" x14ac:dyDescent="0.35">
      <c r="A4" s="4" t="s">
        <v>143</v>
      </c>
      <c r="B4" s="5">
        <v>-0.27</v>
      </c>
      <c r="C4" s="5">
        <v>3.18</v>
      </c>
      <c r="D4" s="5">
        <v>7.59</v>
      </c>
      <c r="E4" s="5">
        <v>2.86</v>
      </c>
      <c r="F4" s="5">
        <v>4.3</v>
      </c>
      <c r="G4" s="5">
        <v>13.15</v>
      </c>
      <c r="H4" s="5">
        <v>8.16</v>
      </c>
      <c r="I4" s="5">
        <v>15.99</v>
      </c>
      <c r="K4" s="6">
        <v>31869.32</v>
      </c>
      <c r="M4" s="5">
        <v>0.84</v>
      </c>
      <c r="N4" s="5">
        <v>1.57</v>
      </c>
    </row>
    <row r="5" spans="1:14" ht="14.25" customHeight="1" x14ac:dyDescent="0.35">
      <c r="A5" s="4" t="s">
        <v>144</v>
      </c>
      <c r="B5" s="5">
        <v>-1.0900000000000001</v>
      </c>
      <c r="C5" s="5">
        <v>0.77</v>
      </c>
      <c r="D5" s="5">
        <v>3.63</v>
      </c>
      <c r="E5" s="5">
        <v>4.47</v>
      </c>
      <c r="F5" s="5">
        <v>8.76</v>
      </c>
      <c r="G5" s="5" t="s">
        <v>13</v>
      </c>
      <c r="H5" s="5" t="s">
        <v>13</v>
      </c>
      <c r="I5" s="5">
        <v>12.27</v>
      </c>
      <c r="K5" s="6">
        <v>87.4</v>
      </c>
      <c r="M5" s="5">
        <v>0.7</v>
      </c>
      <c r="N5" s="5">
        <v>2.35</v>
      </c>
    </row>
    <row r="6" spans="1:14" ht="14.25" customHeight="1" x14ac:dyDescent="0.35">
      <c r="A6" s="4" t="s">
        <v>145</v>
      </c>
      <c r="B6" s="5">
        <v>-0.46</v>
      </c>
      <c r="C6" s="5">
        <v>2.09</v>
      </c>
      <c r="D6" s="5">
        <v>4.6100000000000003</v>
      </c>
      <c r="E6" s="5">
        <v>1.21</v>
      </c>
      <c r="F6" s="5">
        <v>6.14</v>
      </c>
      <c r="G6" s="5">
        <v>11.71</v>
      </c>
      <c r="H6" s="5">
        <v>13.07</v>
      </c>
      <c r="I6" s="5">
        <v>16.66</v>
      </c>
      <c r="K6" s="6">
        <v>6911.29</v>
      </c>
      <c r="M6" s="5">
        <v>0.69</v>
      </c>
      <c r="N6" s="5">
        <v>1.78</v>
      </c>
    </row>
    <row r="7" spans="1:14" ht="14.25" customHeight="1" x14ac:dyDescent="0.35">
      <c r="A7" s="4" t="s">
        <v>146</v>
      </c>
      <c r="B7" s="5">
        <v>-7.0000000000000007E-2</v>
      </c>
      <c r="C7" s="5">
        <v>2.2000000000000002</v>
      </c>
      <c r="D7" s="5">
        <v>3.61</v>
      </c>
      <c r="E7" s="5">
        <v>4.8499999999999996</v>
      </c>
      <c r="F7" s="5">
        <v>9.1199999999999992</v>
      </c>
      <c r="G7" s="5">
        <v>15.05</v>
      </c>
      <c r="H7" s="5">
        <v>12.91</v>
      </c>
      <c r="I7" s="5">
        <v>16.940000000000001</v>
      </c>
      <c r="K7" s="6">
        <v>1406.09</v>
      </c>
      <c r="M7" s="5">
        <v>0.77</v>
      </c>
      <c r="N7" s="5">
        <v>1.97</v>
      </c>
    </row>
    <row r="8" spans="1:14" ht="14.25" customHeight="1" x14ac:dyDescent="0.35">
      <c r="A8" s="4" t="s">
        <v>147</v>
      </c>
      <c r="B8" s="5">
        <v>0.2</v>
      </c>
      <c r="C8" s="5">
        <v>4.25</v>
      </c>
      <c r="D8" s="5">
        <v>8.1199999999999992</v>
      </c>
      <c r="E8" s="5">
        <v>5.36</v>
      </c>
      <c r="F8" s="5">
        <v>10.34</v>
      </c>
      <c r="G8" s="5">
        <v>17.79</v>
      </c>
      <c r="H8" s="5">
        <v>13.59</v>
      </c>
      <c r="I8" s="5">
        <v>15.21</v>
      </c>
      <c r="K8" s="6">
        <v>896.55</v>
      </c>
      <c r="M8" s="5">
        <v>1.01</v>
      </c>
      <c r="N8" s="5">
        <v>2.23</v>
      </c>
    </row>
    <row r="9" spans="1:14" ht="14.25" customHeight="1" x14ac:dyDescent="0.35">
      <c r="A9" s="4" t="s">
        <v>148</v>
      </c>
      <c r="B9" s="5">
        <v>-0.43</v>
      </c>
      <c r="C9" s="5">
        <v>2.16</v>
      </c>
      <c r="D9" s="5">
        <v>6.03</v>
      </c>
      <c r="E9" s="5">
        <v>2.4</v>
      </c>
      <c r="F9" s="5">
        <v>5.97</v>
      </c>
      <c r="G9" s="5">
        <v>13.75</v>
      </c>
      <c r="H9" s="5">
        <v>11.85</v>
      </c>
      <c r="I9" s="5">
        <v>15.14</v>
      </c>
      <c r="K9" s="6">
        <v>8636.82</v>
      </c>
      <c r="M9" s="5">
        <v>0.64</v>
      </c>
      <c r="N9" s="5">
        <v>1.73</v>
      </c>
    </row>
    <row r="10" spans="1:14" ht="14.25" customHeight="1" x14ac:dyDescent="0.35">
      <c r="A10" s="4" t="s">
        <v>149</v>
      </c>
      <c r="B10" s="5">
        <v>-0.75</v>
      </c>
      <c r="C10" s="5">
        <v>0.77</v>
      </c>
      <c r="D10" s="5">
        <v>4.34</v>
      </c>
      <c r="E10" s="5">
        <v>-2.16</v>
      </c>
      <c r="F10" s="5">
        <v>3.8</v>
      </c>
      <c r="G10" s="5">
        <v>15.59</v>
      </c>
      <c r="H10" s="5">
        <v>13.32</v>
      </c>
      <c r="I10" s="5">
        <v>16.73</v>
      </c>
      <c r="K10" s="6">
        <v>16562.43</v>
      </c>
      <c r="M10" s="5">
        <v>0.7</v>
      </c>
      <c r="N10" s="5">
        <v>1.65</v>
      </c>
    </row>
    <row r="11" spans="1:14" ht="14.25" customHeight="1" x14ac:dyDescent="0.35">
      <c r="A11" s="4" t="s">
        <v>150</v>
      </c>
      <c r="B11" s="5">
        <v>-0.13</v>
      </c>
      <c r="C11" s="5">
        <v>3.21</v>
      </c>
      <c r="D11" s="5">
        <v>6.12</v>
      </c>
      <c r="E11" s="5">
        <v>4.58</v>
      </c>
      <c r="F11" s="5">
        <v>10.71</v>
      </c>
      <c r="G11" s="5">
        <v>15.82</v>
      </c>
      <c r="H11" s="5">
        <v>13.63</v>
      </c>
      <c r="I11" s="5">
        <v>14.8</v>
      </c>
      <c r="K11" s="6">
        <v>442.51</v>
      </c>
      <c r="M11" s="5">
        <v>0.67</v>
      </c>
      <c r="N11" s="5">
        <v>2.34</v>
      </c>
    </row>
    <row r="12" spans="1:14" ht="14.25" customHeight="1" x14ac:dyDescent="0.35">
      <c r="A12" s="4" t="s">
        <v>151</v>
      </c>
      <c r="B12" s="5">
        <v>-0.37</v>
      </c>
      <c r="C12" s="5">
        <v>1.56</v>
      </c>
      <c r="D12" s="5">
        <v>6.2</v>
      </c>
      <c r="E12" s="5">
        <v>-0.77</v>
      </c>
      <c r="F12" s="5">
        <v>0.39</v>
      </c>
      <c r="G12" s="5">
        <v>13.38</v>
      </c>
      <c r="H12" s="5">
        <v>13.33</v>
      </c>
      <c r="I12" s="5">
        <v>15.01</v>
      </c>
      <c r="K12" s="6">
        <v>6166.26</v>
      </c>
      <c r="M12" s="5">
        <v>1.1000000000000001</v>
      </c>
      <c r="N12" s="5">
        <v>1.86</v>
      </c>
    </row>
    <row r="13" spans="1:14" ht="14.25" customHeight="1" x14ac:dyDescent="0.35">
      <c r="A13" s="4" t="s">
        <v>152</v>
      </c>
      <c r="B13" s="5">
        <v>-0.54</v>
      </c>
      <c r="C13" s="5">
        <v>2.02</v>
      </c>
      <c r="D13" s="5">
        <v>4.2699999999999996</v>
      </c>
      <c r="E13" s="5">
        <v>-1.54</v>
      </c>
      <c r="F13" s="5">
        <v>-1.94</v>
      </c>
      <c r="G13" s="5">
        <v>11.66</v>
      </c>
      <c r="H13" s="5">
        <v>10.27</v>
      </c>
      <c r="I13" s="5">
        <v>9.68</v>
      </c>
      <c r="K13" s="6">
        <v>50.59</v>
      </c>
      <c r="M13" s="5">
        <v>0.94</v>
      </c>
      <c r="N13" s="5">
        <v>2.39</v>
      </c>
    </row>
    <row r="14" spans="1:14" ht="14.25" customHeight="1" x14ac:dyDescent="0.35">
      <c r="A14" s="4" t="s">
        <v>153</v>
      </c>
      <c r="B14" s="5">
        <v>-0.44</v>
      </c>
      <c r="C14" s="5">
        <v>2.13</v>
      </c>
      <c r="D14" s="5">
        <v>5.47</v>
      </c>
      <c r="E14" s="5">
        <v>-2.77</v>
      </c>
      <c r="F14" s="5">
        <v>0.3</v>
      </c>
      <c r="G14" s="5">
        <v>15.41</v>
      </c>
      <c r="H14" s="5">
        <v>16.05</v>
      </c>
      <c r="I14" s="5">
        <v>14.26</v>
      </c>
      <c r="K14" s="6">
        <v>15685.17</v>
      </c>
      <c r="M14" s="5">
        <v>1.1000000000000001</v>
      </c>
      <c r="N14" s="5">
        <v>1.72</v>
      </c>
    </row>
    <row r="15" spans="1:14" ht="14.25" customHeight="1" x14ac:dyDescent="0.35">
      <c r="A15" s="4" t="s">
        <v>154</v>
      </c>
      <c r="B15" s="5">
        <v>-0.46</v>
      </c>
      <c r="C15" s="5">
        <v>2.98</v>
      </c>
      <c r="D15" s="5">
        <v>8.1</v>
      </c>
      <c r="E15" s="5">
        <v>6.59</v>
      </c>
      <c r="F15" s="5">
        <v>9.83</v>
      </c>
      <c r="G15" s="5">
        <v>18.329999999999998</v>
      </c>
      <c r="H15" s="5">
        <v>14.36</v>
      </c>
      <c r="I15" s="5">
        <v>14.94</v>
      </c>
      <c r="K15" s="6">
        <v>4080.58</v>
      </c>
      <c r="M15" s="5">
        <v>1.1599999999999999</v>
      </c>
      <c r="N15" s="5">
        <v>1.94</v>
      </c>
    </row>
    <row r="16" spans="1:14" ht="14.25" customHeight="1" x14ac:dyDescent="0.35">
      <c r="A16" s="4" t="s">
        <v>155</v>
      </c>
      <c r="B16" s="5">
        <v>-0.81</v>
      </c>
      <c r="C16" s="5">
        <v>2.2200000000000002</v>
      </c>
      <c r="D16" s="5">
        <v>5.6</v>
      </c>
      <c r="E16" s="5">
        <v>0.39</v>
      </c>
      <c r="F16" s="5">
        <v>3.41</v>
      </c>
      <c r="G16" s="5">
        <v>13.27</v>
      </c>
      <c r="H16" s="5">
        <v>11.72</v>
      </c>
      <c r="I16" s="5">
        <v>14.93</v>
      </c>
      <c r="K16" s="6">
        <v>14064.46</v>
      </c>
      <c r="M16" s="5">
        <v>1.1100000000000001</v>
      </c>
      <c r="N16" s="5">
        <v>1.74</v>
      </c>
    </row>
    <row r="17" spans="1:14" ht="14.25" customHeight="1" x14ac:dyDescent="0.35">
      <c r="A17" s="4" t="s">
        <v>156</v>
      </c>
      <c r="B17" s="5">
        <v>0.2</v>
      </c>
      <c r="C17" s="5">
        <v>2.99</v>
      </c>
      <c r="D17" s="5">
        <v>10.09</v>
      </c>
      <c r="E17" s="5">
        <v>6.16</v>
      </c>
      <c r="F17" s="5">
        <v>4.6500000000000004</v>
      </c>
      <c r="G17" s="5">
        <v>14.28</v>
      </c>
      <c r="H17" s="5">
        <v>11.32</v>
      </c>
      <c r="I17" s="5">
        <v>16.16</v>
      </c>
      <c r="K17" s="6">
        <v>2645.94</v>
      </c>
      <c r="M17" s="5">
        <v>0.88</v>
      </c>
      <c r="N17" s="5">
        <v>1.99</v>
      </c>
    </row>
    <row r="18" spans="1:14" ht="14" customHeight="1" x14ac:dyDescent="0.35">
      <c r="A18" s="4" t="s">
        <v>157</v>
      </c>
      <c r="B18" s="5">
        <v>-0.4</v>
      </c>
      <c r="C18" s="5">
        <v>1.79</v>
      </c>
      <c r="D18" s="5">
        <v>8.77</v>
      </c>
      <c r="E18" s="5">
        <v>9.56</v>
      </c>
      <c r="F18" s="5">
        <v>10.94</v>
      </c>
      <c r="G18" s="5">
        <v>19.45</v>
      </c>
      <c r="H18" s="5">
        <v>14.73</v>
      </c>
      <c r="I18" s="5">
        <v>17.02</v>
      </c>
      <c r="K18" s="6">
        <v>452.15</v>
      </c>
      <c r="M18" s="5">
        <v>0.56000000000000005</v>
      </c>
      <c r="N18" s="5">
        <v>2.31</v>
      </c>
    </row>
    <row r="19" spans="1:14" ht="14.25" customHeight="1" x14ac:dyDescent="0.35">
      <c r="A19" s="4" t="s">
        <v>158</v>
      </c>
      <c r="B19" s="5">
        <v>-0.11</v>
      </c>
      <c r="C19" s="5">
        <v>4.75</v>
      </c>
      <c r="D19" s="5">
        <v>11.53</v>
      </c>
      <c r="E19" s="5">
        <v>11.21</v>
      </c>
      <c r="F19" s="5">
        <v>13.14</v>
      </c>
      <c r="G19" s="5">
        <v>18.309999999999999</v>
      </c>
      <c r="H19" s="5">
        <v>16.12</v>
      </c>
      <c r="I19" s="5">
        <v>17.079999999999998</v>
      </c>
      <c r="K19" s="6">
        <v>232.43</v>
      </c>
      <c r="M19" s="5">
        <v>1.01</v>
      </c>
      <c r="N19" s="5">
        <v>2.37</v>
      </c>
    </row>
    <row r="20" spans="1:14" ht="14.25" customHeight="1" x14ac:dyDescent="0.35">
      <c r="A20" s="4" t="s">
        <v>159</v>
      </c>
      <c r="B20" s="5">
        <v>-0.08</v>
      </c>
      <c r="C20" s="5">
        <v>2.58</v>
      </c>
      <c r="D20" s="5">
        <v>7.5</v>
      </c>
      <c r="E20" s="5">
        <v>2.09</v>
      </c>
      <c r="F20" s="5">
        <v>5.57</v>
      </c>
      <c r="G20" s="5">
        <v>13.47</v>
      </c>
      <c r="H20" s="5">
        <v>13.23</v>
      </c>
      <c r="I20" s="5">
        <v>15.26</v>
      </c>
      <c r="K20" s="6">
        <v>6196.82</v>
      </c>
      <c r="M20" s="5">
        <v>0.62</v>
      </c>
      <c r="N20" s="5">
        <v>1.78</v>
      </c>
    </row>
    <row r="21" spans="1:14" ht="14.25" customHeight="1" x14ac:dyDescent="0.35">
      <c r="A21" s="4" t="s">
        <v>160</v>
      </c>
      <c r="B21" s="5">
        <v>-1.01</v>
      </c>
      <c r="C21" s="5">
        <v>1.92</v>
      </c>
      <c r="D21" s="5">
        <v>6.69</v>
      </c>
      <c r="E21" s="5">
        <v>-0.65</v>
      </c>
      <c r="F21" s="5">
        <v>0.44</v>
      </c>
      <c r="G21" s="5">
        <v>11.71</v>
      </c>
      <c r="H21" s="5">
        <v>10.86</v>
      </c>
      <c r="I21" s="5">
        <v>13.73</v>
      </c>
      <c r="K21" s="6">
        <v>1012.87</v>
      </c>
      <c r="M21" s="5">
        <v>1.07</v>
      </c>
      <c r="N21" s="5">
        <v>2.2400000000000002</v>
      </c>
    </row>
    <row r="22" spans="1:14" ht="14.25" customHeight="1" x14ac:dyDescent="0.35">
      <c r="A22" s="4" t="s">
        <v>161</v>
      </c>
      <c r="B22" s="5">
        <v>-0.01</v>
      </c>
      <c r="C22" s="5">
        <v>2.6</v>
      </c>
      <c r="D22" s="5">
        <v>5.84</v>
      </c>
      <c r="E22" s="5">
        <v>-1.39</v>
      </c>
      <c r="F22" s="5">
        <v>2</v>
      </c>
      <c r="G22" s="5">
        <v>10.93</v>
      </c>
      <c r="H22" s="5">
        <v>11.44</v>
      </c>
      <c r="I22" s="5">
        <v>13.08</v>
      </c>
      <c r="K22" s="6">
        <v>884.16</v>
      </c>
      <c r="M22" s="5">
        <v>0.79</v>
      </c>
      <c r="N22" s="5">
        <v>2.2400000000000002</v>
      </c>
    </row>
    <row r="23" spans="1:14" ht="14.25" customHeight="1" x14ac:dyDescent="0.35">
      <c r="A23" s="4" t="s">
        <v>162</v>
      </c>
      <c r="B23" s="5">
        <v>-0.74</v>
      </c>
      <c r="C23" s="5">
        <v>1.21</v>
      </c>
      <c r="D23" s="5">
        <v>6.39</v>
      </c>
      <c r="E23" s="5">
        <v>2.17</v>
      </c>
      <c r="F23" s="5">
        <v>7.1</v>
      </c>
      <c r="G23" s="5">
        <v>14.46</v>
      </c>
      <c r="H23" s="5">
        <v>12.72</v>
      </c>
      <c r="I23" s="5">
        <v>18.03</v>
      </c>
      <c r="K23" s="6">
        <v>26049.15</v>
      </c>
      <c r="M23" s="5">
        <v>0.61</v>
      </c>
      <c r="N23" s="5">
        <v>1.58</v>
      </c>
    </row>
    <row r="24" spans="1:14" ht="14.25" customHeight="1" x14ac:dyDescent="0.35">
      <c r="A24" s="4" t="s">
        <v>163</v>
      </c>
      <c r="B24" s="5">
        <v>1.83</v>
      </c>
      <c r="C24" s="5">
        <v>3.88</v>
      </c>
      <c r="D24" s="5">
        <v>5.0599999999999996</v>
      </c>
      <c r="E24" s="5">
        <v>15.96</v>
      </c>
      <c r="F24" s="5">
        <v>14.48</v>
      </c>
      <c r="G24" s="5">
        <v>23.62</v>
      </c>
      <c r="H24" s="5">
        <v>18.14</v>
      </c>
      <c r="I24" s="5">
        <v>17.72</v>
      </c>
      <c r="K24" s="6">
        <v>4861.8599999999997</v>
      </c>
      <c r="M24" s="5">
        <v>0.69</v>
      </c>
      <c r="N24" s="5">
        <v>1.84</v>
      </c>
    </row>
    <row r="25" spans="1:14" ht="14.25" customHeight="1" x14ac:dyDescent="0.35">
      <c r="A25" s="4" t="s">
        <v>164</v>
      </c>
      <c r="B25" s="5">
        <v>-0.44</v>
      </c>
      <c r="C25" s="5">
        <v>1.1100000000000001</v>
      </c>
      <c r="D25" s="5">
        <v>3.86</v>
      </c>
      <c r="E25" s="5">
        <v>1.9</v>
      </c>
      <c r="F25" s="5">
        <v>4.57</v>
      </c>
      <c r="G25" s="5">
        <v>14.67</v>
      </c>
      <c r="H25" s="5">
        <v>13.6</v>
      </c>
      <c r="I25" s="5">
        <v>13.97</v>
      </c>
      <c r="K25" s="6">
        <v>14879.95</v>
      </c>
      <c r="M25" s="5">
        <v>1.04</v>
      </c>
      <c r="N25" s="5">
        <v>1.72</v>
      </c>
    </row>
    <row r="26" spans="1:14" ht="14.25" customHeight="1" x14ac:dyDescent="0.35">
      <c r="A26" s="4" t="s">
        <v>165</v>
      </c>
      <c r="B26" s="5">
        <v>-0.2</v>
      </c>
      <c r="C26" s="5">
        <v>3.2</v>
      </c>
      <c r="D26" s="5">
        <v>6.46</v>
      </c>
      <c r="E26" s="5">
        <v>5.54</v>
      </c>
      <c r="F26" s="5">
        <v>1.27</v>
      </c>
      <c r="G26" s="5">
        <v>12.08</v>
      </c>
      <c r="H26" s="5" t="s">
        <v>13</v>
      </c>
      <c r="I26" s="5">
        <v>14.08</v>
      </c>
      <c r="K26" s="6">
        <v>332.4</v>
      </c>
      <c r="M26" s="5">
        <v>0.66</v>
      </c>
      <c r="N26" s="5">
        <v>2.34</v>
      </c>
    </row>
    <row r="27" spans="1:14" ht="14.25" customHeight="1" x14ac:dyDescent="0.35">
      <c r="A27" s="4" t="s">
        <v>166</v>
      </c>
      <c r="B27" s="5">
        <v>-0.79</v>
      </c>
      <c r="C27" s="5">
        <v>0.76</v>
      </c>
      <c r="D27" s="5">
        <v>2.63</v>
      </c>
      <c r="E27" s="5">
        <v>-2.85</v>
      </c>
      <c r="F27" s="5">
        <v>-5.39</v>
      </c>
      <c r="G27" s="5">
        <v>11.63</v>
      </c>
      <c r="H27" s="5">
        <v>12.99</v>
      </c>
      <c r="I27" s="5">
        <v>18.02</v>
      </c>
      <c r="K27" s="6">
        <v>5599.5</v>
      </c>
      <c r="M27" s="5">
        <v>0.63</v>
      </c>
      <c r="N27" s="5">
        <v>1.73</v>
      </c>
    </row>
    <row r="28" spans="1:14" ht="14.25" customHeight="1" x14ac:dyDescent="0.35">
      <c r="A28" s="4" t="s">
        <v>167</v>
      </c>
      <c r="B28" s="5">
        <v>-7.0000000000000007E-2</v>
      </c>
      <c r="C28" s="5">
        <v>2.67</v>
      </c>
      <c r="D28" s="5">
        <v>7.93</v>
      </c>
      <c r="E28" s="5">
        <v>3.72</v>
      </c>
      <c r="F28" s="5">
        <v>3.06</v>
      </c>
      <c r="G28" s="5">
        <v>10.61</v>
      </c>
      <c r="H28" s="5">
        <v>11.23</v>
      </c>
      <c r="I28" s="5">
        <v>14.07</v>
      </c>
      <c r="K28" s="6">
        <v>713.35</v>
      </c>
      <c r="M28" s="5">
        <v>0.78</v>
      </c>
      <c r="N28" s="5">
        <v>2.2999999999999998</v>
      </c>
    </row>
    <row r="29" spans="1:14" ht="14.25" customHeight="1" x14ac:dyDescent="0.35">
      <c r="A29" s="4" t="s">
        <v>168</v>
      </c>
      <c r="B29" s="5">
        <v>-0.3</v>
      </c>
      <c r="C29" s="5">
        <v>1.83</v>
      </c>
      <c r="D29" s="5">
        <v>7.05</v>
      </c>
      <c r="E29" s="5">
        <v>12.96</v>
      </c>
      <c r="F29" s="5">
        <v>17.350000000000001</v>
      </c>
      <c r="G29" s="5">
        <v>17.309999999999999</v>
      </c>
      <c r="H29" s="5">
        <v>16.510000000000002</v>
      </c>
      <c r="I29" s="5">
        <v>19.989999999999998</v>
      </c>
      <c r="K29" s="6">
        <v>13143.38</v>
      </c>
      <c r="M29" s="5">
        <v>0.81</v>
      </c>
      <c r="N29" s="5">
        <v>1.72</v>
      </c>
    </row>
    <row r="30" spans="1:14" ht="14.25" customHeight="1" x14ac:dyDescent="0.35">
      <c r="A30" s="4" t="s">
        <v>169</v>
      </c>
      <c r="B30" s="5">
        <v>-0.56000000000000005</v>
      </c>
      <c r="C30" s="5">
        <v>1.05</v>
      </c>
      <c r="D30" s="5">
        <v>3.47</v>
      </c>
      <c r="E30" s="5">
        <v>-2.23</v>
      </c>
      <c r="F30" s="5">
        <v>-1.51</v>
      </c>
      <c r="G30" s="5">
        <v>12.04</v>
      </c>
      <c r="H30" s="5">
        <v>11</v>
      </c>
      <c r="I30" s="5">
        <v>15.5</v>
      </c>
      <c r="K30" s="6">
        <v>207.3</v>
      </c>
      <c r="M30" s="5">
        <v>0.89</v>
      </c>
      <c r="N30" s="5">
        <v>2.09</v>
      </c>
    </row>
    <row r="31" spans="1:14" ht="14.25" customHeight="1" x14ac:dyDescent="0.35">
      <c r="A31" s="4" t="s">
        <v>170</v>
      </c>
      <c r="B31" s="5">
        <v>1.17</v>
      </c>
      <c r="C31" s="5">
        <v>4.99</v>
      </c>
      <c r="D31" s="5">
        <v>6.85</v>
      </c>
      <c r="E31" s="5">
        <v>8.56</v>
      </c>
      <c r="F31" s="5">
        <v>2.06</v>
      </c>
      <c r="G31" s="5">
        <v>6.04</v>
      </c>
      <c r="H31" s="5" t="s">
        <v>13</v>
      </c>
      <c r="I31" s="5">
        <v>9.41</v>
      </c>
      <c r="K31" s="6">
        <v>106.75</v>
      </c>
      <c r="M31" s="5">
        <v>0.97</v>
      </c>
      <c r="N31" s="5">
        <v>2.37</v>
      </c>
    </row>
    <row r="32" spans="1:14" ht="14.25" customHeight="1" x14ac:dyDescent="0.35">
      <c r="A32" s="4" t="s">
        <v>171</v>
      </c>
      <c r="B32" s="5">
        <v>-0.8</v>
      </c>
      <c r="C32" s="5">
        <v>-0.36</v>
      </c>
      <c r="D32" s="5">
        <v>2.77</v>
      </c>
      <c r="E32" s="5">
        <v>-1.68</v>
      </c>
      <c r="F32" s="5">
        <v>2.12</v>
      </c>
      <c r="G32" s="5">
        <v>16.47</v>
      </c>
      <c r="H32" s="5">
        <v>16.440000000000001</v>
      </c>
      <c r="I32" s="5">
        <v>15.38</v>
      </c>
      <c r="K32" s="6">
        <v>31839.34</v>
      </c>
      <c r="M32" s="5">
        <v>0.99</v>
      </c>
      <c r="N32" s="5">
        <v>1.6</v>
      </c>
    </row>
    <row r="33" spans="1:14" ht="14.25" customHeight="1" x14ac:dyDescent="0.35">
      <c r="A33" s="4" t="s">
        <v>172</v>
      </c>
      <c r="B33" s="5">
        <v>-0.77</v>
      </c>
      <c r="C33" s="5">
        <v>1.44</v>
      </c>
      <c r="D33" s="5">
        <v>5.3</v>
      </c>
      <c r="E33" s="5">
        <v>1.1399999999999999</v>
      </c>
      <c r="F33" s="5">
        <v>3.19</v>
      </c>
      <c r="G33" s="5">
        <v>9.83</v>
      </c>
      <c r="H33" s="5">
        <v>9.32</v>
      </c>
      <c r="I33" s="5">
        <v>12.33</v>
      </c>
      <c r="K33" s="6">
        <v>46.95</v>
      </c>
      <c r="M33" s="5">
        <v>0.74</v>
      </c>
      <c r="N33" s="5">
        <v>2.3199999999999998</v>
      </c>
    </row>
    <row r="34" spans="1:14" ht="14.25" customHeight="1" x14ac:dyDescent="0.35">
      <c r="A34" s="4" t="s">
        <v>173</v>
      </c>
      <c r="B34" s="5">
        <v>-0.65</v>
      </c>
      <c r="C34" s="5">
        <v>1.74</v>
      </c>
      <c r="D34" s="5">
        <v>3.95</v>
      </c>
      <c r="E34" s="5">
        <v>-2.33</v>
      </c>
      <c r="F34" s="5">
        <v>-0.6</v>
      </c>
      <c r="G34" s="5">
        <v>10.62</v>
      </c>
      <c r="H34" s="5">
        <v>11.17</v>
      </c>
      <c r="I34" s="5">
        <v>14.5</v>
      </c>
      <c r="K34" s="6">
        <v>1280.74</v>
      </c>
      <c r="M34" s="5">
        <v>1.57</v>
      </c>
      <c r="N34" s="5">
        <v>2.23</v>
      </c>
    </row>
    <row r="35" spans="1:14" ht="14.25" customHeight="1" x14ac:dyDescent="0.35">
      <c r="A35" s="4" t="s">
        <v>174</v>
      </c>
      <c r="B35" s="5">
        <v>0.39</v>
      </c>
      <c r="C35" s="5">
        <v>3.41</v>
      </c>
      <c r="D35" s="5">
        <v>7.41</v>
      </c>
      <c r="E35" s="5">
        <v>4.84</v>
      </c>
      <c r="F35" s="5">
        <v>11.7</v>
      </c>
      <c r="G35" s="5">
        <v>14.74</v>
      </c>
      <c r="H35" s="5">
        <v>14.09</v>
      </c>
      <c r="I35" s="5">
        <v>15.58</v>
      </c>
      <c r="K35" s="6">
        <v>4597.26</v>
      </c>
      <c r="M35" s="5">
        <v>0.75</v>
      </c>
      <c r="N35" s="5">
        <v>1.83</v>
      </c>
    </row>
    <row r="36" spans="1:14" ht="14.25" customHeight="1" x14ac:dyDescent="0.35">
      <c r="A36" s="4" t="s">
        <v>175</v>
      </c>
      <c r="B36" s="5">
        <v>-0.31</v>
      </c>
      <c r="C36" s="5">
        <v>3.68</v>
      </c>
      <c r="D36" s="5">
        <v>5.42</v>
      </c>
      <c r="E36" s="5">
        <v>4.18</v>
      </c>
      <c r="F36" s="5">
        <v>-0.37</v>
      </c>
      <c r="G36" s="5">
        <v>12.08</v>
      </c>
      <c r="H36" s="5">
        <v>11.75</v>
      </c>
      <c r="I36" s="5">
        <v>12.87</v>
      </c>
      <c r="K36" s="6">
        <v>70.400000000000006</v>
      </c>
      <c r="M36" s="5">
        <v>2.2200000000000002</v>
      </c>
      <c r="N36" s="5">
        <v>2.52</v>
      </c>
    </row>
    <row r="37" spans="1:14" ht="14.25" customHeight="1" x14ac:dyDescent="0.35">
      <c r="A37" s="4" t="s">
        <v>176</v>
      </c>
      <c r="B37" s="5">
        <v>0.37</v>
      </c>
      <c r="C37" s="5">
        <v>2.56</v>
      </c>
      <c r="D37" s="5">
        <v>6.98</v>
      </c>
      <c r="E37" s="5">
        <v>3.13</v>
      </c>
      <c r="F37" s="5">
        <v>5.23</v>
      </c>
      <c r="G37" s="5">
        <v>12.79</v>
      </c>
      <c r="H37" s="5">
        <v>12.23</v>
      </c>
      <c r="I37" s="5">
        <v>13.46</v>
      </c>
      <c r="K37" s="6">
        <v>856.82</v>
      </c>
      <c r="M37" s="5">
        <v>1.39</v>
      </c>
      <c r="N37" s="5">
        <v>2.35</v>
      </c>
    </row>
    <row r="38" spans="1:14" ht="14.25" customHeight="1" x14ac:dyDescent="0.35">
      <c r="A38" s="4" t="s">
        <v>177</v>
      </c>
      <c r="B38" s="5">
        <v>-0.2</v>
      </c>
      <c r="C38" s="5">
        <v>1.41</v>
      </c>
      <c r="D38" s="5">
        <v>5.54</v>
      </c>
      <c r="E38" s="5">
        <v>0.09</v>
      </c>
      <c r="F38" s="5">
        <v>2.81</v>
      </c>
      <c r="G38" s="5">
        <v>10.93</v>
      </c>
      <c r="H38" s="5">
        <v>9.26</v>
      </c>
      <c r="I38" s="5">
        <v>13.31</v>
      </c>
      <c r="K38" s="6">
        <v>3473.99</v>
      </c>
      <c r="M38" s="5">
        <v>0.96</v>
      </c>
      <c r="N38" s="5">
        <v>1.91</v>
      </c>
    </row>
    <row r="39" spans="1:14" ht="14.25" customHeight="1" x14ac:dyDescent="0.35">
      <c r="A39" s="4" t="s">
        <v>178</v>
      </c>
      <c r="B39" s="5">
        <v>0.3</v>
      </c>
      <c r="C39" s="5">
        <v>3.32</v>
      </c>
      <c r="D39" s="5">
        <v>9.76</v>
      </c>
      <c r="E39" s="5">
        <v>7.93</v>
      </c>
      <c r="F39" s="5">
        <v>8.3000000000000007</v>
      </c>
      <c r="G39" s="5">
        <v>18.61</v>
      </c>
      <c r="H39" s="5" t="s">
        <v>13</v>
      </c>
      <c r="I39" s="5">
        <v>19.11</v>
      </c>
      <c r="K39" s="6">
        <v>473.58</v>
      </c>
      <c r="M39" s="5">
        <v>0.64</v>
      </c>
      <c r="N39" s="5">
        <v>2.33</v>
      </c>
    </row>
    <row r="40" spans="1:14" ht="14.25" customHeight="1" x14ac:dyDescent="0.35">
      <c r="A40" s="7" t="s">
        <v>49</v>
      </c>
      <c r="B40" s="8">
        <f t="shared" ref="B40:H40" si="0">MEDIAN(B3:B39)</f>
        <v>-0.37</v>
      </c>
      <c r="C40" s="8">
        <f t="shared" si="0"/>
        <v>2.16</v>
      </c>
      <c r="D40" s="8">
        <f t="shared" si="0"/>
        <v>6.03</v>
      </c>
      <c r="E40" s="8">
        <f t="shared" si="0"/>
        <v>2.4</v>
      </c>
      <c r="F40" s="8">
        <f t="shared" si="0"/>
        <v>4.57</v>
      </c>
      <c r="G40" s="8">
        <f t="shared" si="0"/>
        <v>13.425000000000001</v>
      </c>
      <c r="H40" s="8">
        <f t="shared" si="0"/>
        <v>12.91</v>
      </c>
      <c r="I40" s="8">
        <f>MEDIAN(I3:I39)</f>
        <v>15.01</v>
      </c>
    </row>
    <row r="41" spans="1:14" ht="14.25" customHeight="1" x14ac:dyDescent="0.35">
      <c r="A41" s="2" t="s">
        <v>50</v>
      </c>
      <c r="B41" s="5" t="s">
        <v>13</v>
      </c>
      <c r="C41" s="5" t="s">
        <v>13</v>
      </c>
      <c r="D41" s="5" t="s">
        <v>13</v>
      </c>
      <c r="E41" s="5" t="s">
        <v>13</v>
      </c>
      <c r="F41" s="5" t="s">
        <v>13</v>
      </c>
      <c r="G41" s="5" t="s">
        <v>13</v>
      </c>
      <c r="H41" s="5" t="s">
        <v>13</v>
      </c>
      <c r="I41" s="5" t="s">
        <v>13</v>
      </c>
    </row>
    <row r="42" spans="1:14" ht="14.25" customHeight="1" x14ac:dyDescent="0.35">
      <c r="A42" s="4" t="s">
        <v>129</v>
      </c>
      <c r="B42" s="5">
        <v>-0.48</v>
      </c>
      <c r="C42" s="5">
        <v>1.92</v>
      </c>
      <c r="D42" s="5">
        <v>4.93</v>
      </c>
      <c r="E42" s="5">
        <v>1.85</v>
      </c>
      <c r="F42" s="5">
        <v>4.99</v>
      </c>
      <c r="G42" s="5">
        <v>13</v>
      </c>
      <c r="H42" s="5">
        <v>12.02</v>
      </c>
      <c r="I42" s="5"/>
    </row>
  </sheetData>
  <mergeCells count="1">
    <mergeCell ref="M1:N1"/>
  </mergeCells>
  <conditionalFormatting sqref="F3:F39">
    <cfRule type="expression" dxfId="59" priority="2">
      <formula>AND(ISNUMBER(F3),F3&gt;MEDIAN($F$3:$F$39))</formula>
    </cfRule>
  </conditionalFormatting>
  <conditionalFormatting sqref="G3:G39">
    <cfRule type="expression" dxfId="58" priority="3">
      <formula>AND(ISNUMBER(G3),G3&gt;MEDIAN($G$3:$G$39))</formula>
    </cfRule>
  </conditionalFormatting>
  <conditionalFormatting sqref="H3:H39">
    <cfRule type="expression" dxfId="57" priority="4">
      <formula>AND(ISNUMBER(H3),H3&gt;MEDIAN($H$3:$H$39))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4"/>
  <sheetViews>
    <sheetView topLeftCell="A7" zoomScale="70" zoomScaleNormal="70" workbookViewId="0">
      <selection activeCell="I35" sqref="I35"/>
    </sheetView>
  </sheetViews>
  <sheetFormatPr defaultColWidth="8.54296875" defaultRowHeight="14.5" x14ac:dyDescent="0.35"/>
  <cols>
    <col min="1" max="1" width="41.906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54296875" customWidth="1"/>
    <col min="11" max="11" width="12.90625" customWidth="1"/>
    <col min="12" max="12" width="2.6328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L1" s="11"/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223</v>
      </c>
      <c r="B3" s="5">
        <v>0</v>
      </c>
      <c r="C3" s="5">
        <v>2.1</v>
      </c>
      <c r="D3" s="5">
        <v>9.0500000000000007</v>
      </c>
      <c r="E3" s="5">
        <v>4.74</v>
      </c>
      <c r="F3" s="5">
        <v>8.5399999999999991</v>
      </c>
      <c r="G3" s="5">
        <v>13.96</v>
      </c>
      <c r="H3" s="5">
        <v>12.67</v>
      </c>
      <c r="I3" s="5">
        <v>15.78</v>
      </c>
      <c r="K3" s="6">
        <v>6644.68</v>
      </c>
      <c r="M3" s="5">
        <v>0.8</v>
      </c>
      <c r="N3" s="5">
        <v>1.79</v>
      </c>
    </row>
    <row r="4" spans="1:14" ht="14.25" customHeight="1" x14ac:dyDescent="0.35">
      <c r="A4" s="4" t="s">
        <v>224</v>
      </c>
      <c r="B4" s="5">
        <v>-0.44</v>
      </c>
      <c r="C4" s="5">
        <v>2.68</v>
      </c>
      <c r="D4" s="5">
        <v>7.72</v>
      </c>
      <c r="E4" s="5">
        <v>1.51</v>
      </c>
      <c r="F4" s="5">
        <v>9.57</v>
      </c>
      <c r="G4" s="5">
        <v>15.1</v>
      </c>
      <c r="H4" s="5">
        <v>12.53</v>
      </c>
      <c r="I4" s="5">
        <v>14.72</v>
      </c>
      <c r="K4" s="6">
        <v>7854.74</v>
      </c>
      <c r="M4" s="5">
        <v>0.88</v>
      </c>
      <c r="N4" s="5">
        <v>1.81</v>
      </c>
    </row>
    <row r="5" spans="1:14" ht="14.25" customHeight="1" x14ac:dyDescent="0.35">
      <c r="A5" s="4" t="s">
        <v>225</v>
      </c>
      <c r="B5" s="5">
        <v>0.71</v>
      </c>
      <c r="C5" s="5">
        <v>6.39</v>
      </c>
      <c r="D5" s="5">
        <v>12.29</v>
      </c>
      <c r="E5" s="5">
        <v>7.95</v>
      </c>
      <c r="F5" s="5">
        <v>5.18</v>
      </c>
      <c r="G5" s="5">
        <v>12.47</v>
      </c>
      <c r="H5" s="5">
        <v>6.79</v>
      </c>
      <c r="I5" s="5">
        <v>13.64</v>
      </c>
      <c r="K5" s="6">
        <v>11078.39</v>
      </c>
      <c r="M5" s="5">
        <v>0.84</v>
      </c>
      <c r="N5" s="5">
        <v>1.78</v>
      </c>
    </row>
    <row r="6" spans="1:14" ht="14.25" customHeight="1" x14ac:dyDescent="0.35">
      <c r="A6" s="4" t="s">
        <v>226</v>
      </c>
      <c r="B6" s="5">
        <v>-1.1299999999999999</v>
      </c>
      <c r="C6" s="5">
        <v>0.34</v>
      </c>
      <c r="D6" s="5">
        <v>2.3199999999999998</v>
      </c>
      <c r="E6" s="5">
        <v>2.04</v>
      </c>
      <c r="F6" s="5">
        <v>2.91</v>
      </c>
      <c r="G6" s="5">
        <v>16</v>
      </c>
      <c r="H6" s="5">
        <v>12.94</v>
      </c>
      <c r="I6" s="5">
        <v>12.99</v>
      </c>
      <c r="K6" s="6">
        <v>2066.71</v>
      </c>
      <c r="M6" s="5">
        <v>0.8</v>
      </c>
      <c r="N6" s="5">
        <v>2.09</v>
      </c>
    </row>
    <row r="7" spans="1:14" ht="14" customHeight="1" x14ac:dyDescent="0.35">
      <c r="A7" s="4" t="s">
        <v>227</v>
      </c>
      <c r="B7" s="5">
        <v>0.37</v>
      </c>
      <c r="C7" s="5">
        <v>3.19</v>
      </c>
      <c r="D7" s="5">
        <v>4.7699999999999996</v>
      </c>
      <c r="E7" s="5">
        <v>0.96</v>
      </c>
      <c r="F7" s="5">
        <v>2.1800000000000002</v>
      </c>
      <c r="G7" s="5">
        <v>11.3</v>
      </c>
      <c r="H7" s="5">
        <v>11.36</v>
      </c>
      <c r="I7" s="5">
        <v>10.84</v>
      </c>
      <c r="K7" s="6">
        <v>647.97</v>
      </c>
      <c r="M7" s="5">
        <v>0.47</v>
      </c>
      <c r="N7" s="5">
        <v>2.2799999999999998</v>
      </c>
    </row>
    <row r="8" spans="1:14" ht="14.25" customHeight="1" x14ac:dyDescent="0.35">
      <c r="A8" s="4" t="s">
        <v>228</v>
      </c>
      <c r="B8" s="5">
        <v>-0.41</v>
      </c>
      <c r="C8" s="5">
        <v>2.84</v>
      </c>
      <c r="D8" s="5">
        <v>6.94</v>
      </c>
      <c r="E8" s="5">
        <v>-0.09</v>
      </c>
      <c r="F8" s="5">
        <v>1.83</v>
      </c>
      <c r="G8" s="5">
        <v>14.95</v>
      </c>
      <c r="H8" s="5">
        <v>13.64</v>
      </c>
      <c r="I8" s="5">
        <v>15.94</v>
      </c>
      <c r="K8" s="6">
        <v>2768.51</v>
      </c>
      <c r="M8" s="5">
        <v>0.61</v>
      </c>
      <c r="N8" s="5">
        <v>1.97</v>
      </c>
    </row>
    <row r="9" spans="1:14" ht="14.25" customHeight="1" x14ac:dyDescent="0.35">
      <c r="A9" s="4" t="s">
        <v>229</v>
      </c>
      <c r="B9" s="5">
        <v>-0.39</v>
      </c>
      <c r="C9" s="5">
        <v>1.1200000000000001</v>
      </c>
      <c r="D9" s="5">
        <v>8.3800000000000008</v>
      </c>
      <c r="E9" s="5">
        <v>1.68</v>
      </c>
      <c r="F9" s="5">
        <v>7.92</v>
      </c>
      <c r="G9" s="5">
        <v>15.4</v>
      </c>
      <c r="H9" s="5">
        <v>11.91</v>
      </c>
      <c r="I9" s="5">
        <v>13.52</v>
      </c>
      <c r="K9" s="6">
        <v>2600.92</v>
      </c>
      <c r="M9" s="5">
        <v>0.97</v>
      </c>
      <c r="N9" s="5">
        <v>2.0499999999999998</v>
      </c>
    </row>
    <row r="10" spans="1:14" ht="14.25" customHeight="1" x14ac:dyDescent="0.35">
      <c r="A10" s="4" t="s">
        <v>230</v>
      </c>
      <c r="B10" s="5">
        <v>0.09</v>
      </c>
      <c r="C10" s="5">
        <v>3.81</v>
      </c>
      <c r="D10" s="5">
        <v>5.49</v>
      </c>
      <c r="E10" s="5">
        <v>1.48</v>
      </c>
      <c r="F10" s="5">
        <v>7.01</v>
      </c>
      <c r="G10" s="5">
        <v>15.4</v>
      </c>
      <c r="H10" s="5" t="s">
        <v>13</v>
      </c>
      <c r="I10" s="5">
        <v>15.93</v>
      </c>
      <c r="K10" s="6">
        <v>1030.2</v>
      </c>
      <c r="M10" s="5">
        <v>0.68</v>
      </c>
      <c r="N10" s="5">
        <v>2.23</v>
      </c>
    </row>
    <row r="11" spans="1:14" ht="14.25" customHeight="1" x14ac:dyDescent="0.35">
      <c r="A11" s="4" t="s">
        <v>231</v>
      </c>
      <c r="B11" s="5">
        <v>-0.16</v>
      </c>
      <c r="C11" s="5">
        <v>1.27</v>
      </c>
      <c r="D11" s="5">
        <v>3.77</v>
      </c>
      <c r="E11" s="5">
        <v>-4.07</v>
      </c>
      <c r="F11" s="5">
        <v>-3.44</v>
      </c>
      <c r="G11" s="5">
        <v>10.6</v>
      </c>
      <c r="H11" s="5">
        <v>11.83</v>
      </c>
      <c r="I11" s="5">
        <v>16.5</v>
      </c>
      <c r="K11" s="6">
        <v>11408.91</v>
      </c>
      <c r="M11" s="5">
        <v>1.02</v>
      </c>
      <c r="N11" s="5">
        <v>1.8</v>
      </c>
    </row>
    <row r="12" spans="1:14" ht="14.25" customHeight="1" x14ac:dyDescent="0.35">
      <c r="A12" s="4" t="s">
        <v>232</v>
      </c>
      <c r="B12" s="5">
        <v>-0.39</v>
      </c>
      <c r="C12" s="5">
        <v>1.91</v>
      </c>
      <c r="D12" s="5">
        <v>6.96</v>
      </c>
      <c r="E12" s="5">
        <v>-1.19</v>
      </c>
      <c r="F12" s="5">
        <v>4.47</v>
      </c>
      <c r="G12" s="5">
        <v>17.54</v>
      </c>
      <c r="H12" s="5">
        <v>19.57</v>
      </c>
      <c r="I12" s="5">
        <v>14.99</v>
      </c>
      <c r="K12" s="6">
        <v>27303.27</v>
      </c>
      <c r="M12" s="5">
        <v>0.65</v>
      </c>
      <c r="N12" s="5">
        <v>1.62</v>
      </c>
    </row>
    <row r="13" spans="1:14" ht="14" customHeight="1" x14ac:dyDescent="0.35">
      <c r="A13" s="4" t="s">
        <v>233</v>
      </c>
      <c r="B13" s="5">
        <v>1.04</v>
      </c>
      <c r="C13" s="5">
        <v>4.45</v>
      </c>
      <c r="D13" s="5">
        <v>8.75</v>
      </c>
      <c r="E13" s="5">
        <v>7.66</v>
      </c>
      <c r="F13" s="5">
        <v>11.66</v>
      </c>
      <c r="G13" s="5">
        <v>16.63</v>
      </c>
      <c r="H13" s="5">
        <v>14.27</v>
      </c>
      <c r="I13" s="5">
        <v>19.75</v>
      </c>
      <c r="K13" s="6">
        <v>1723.44</v>
      </c>
      <c r="M13" s="5">
        <v>1.01</v>
      </c>
      <c r="N13" s="5">
        <v>2.14</v>
      </c>
    </row>
    <row r="14" spans="1:14" ht="14" customHeight="1" x14ac:dyDescent="0.35">
      <c r="A14" s="4" t="s">
        <v>234</v>
      </c>
      <c r="B14" s="5">
        <v>-0.72</v>
      </c>
      <c r="C14" s="5">
        <v>0.78</v>
      </c>
      <c r="D14" s="5">
        <v>7.45</v>
      </c>
      <c r="E14" s="5">
        <v>-7.0000000000000007E-2</v>
      </c>
      <c r="F14" s="5">
        <v>6.99</v>
      </c>
      <c r="G14" s="5">
        <v>18.850000000000001</v>
      </c>
      <c r="H14" s="5">
        <v>16.87</v>
      </c>
      <c r="I14" s="5">
        <v>15.69</v>
      </c>
      <c r="K14" s="6">
        <v>17011.759999999998</v>
      </c>
      <c r="M14" s="5">
        <v>0.59</v>
      </c>
      <c r="N14" s="5">
        <v>1.69</v>
      </c>
    </row>
    <row r="15" spans="1:14" ht="14.25" customHeight="1" x14ac:dyDescent="0.35">
      <c r="A15" s="4" t="s">
        <v>235</v>
      </c>
      <c r="B15" s="5">
        <v>0.68</v>
      </c>
      <c r="C15" s="5">
        <v>3.26</v>
      </c>
      <c r="D15" s="5">
        <v>14.03</v>
      </c>
      <c r="E15" s="5">
        <v>14.52</v>
      </c>
      <c r="F15" s="5">
        <v>5.76</v>
      </c>
      <c r="G15" s="5">
        <v>23.47</v>
      </c>
      <c r="H15" s="5">
        <v>16.649999999999999</v>
      </c>
      <c r="I15" s="5">
        <v>22.11</v>
      </c>
      <c r="K15" s="6">
        <v>5706.62</v>
      </c>
      <c r="M15" s="5">
        <v>0.49</v>
      </c>
      <c r="N15" s="5">
        <v>1.82</v>
      </c>
    </row>
    <row r="16" spans="1:14" ht="14.25" customHeight="1" x14ac:dyDescent="0.35">
      <c r="A16" s="4" t="s">
        <v>236</v>
      </c>
      <c r="B16" s="5">
        <v>0.3</v>
      </c>
      <c r="C16" s="5">
        <v>3.59</v>
      </c>
      <c r="D16" s="5">
        <v>5.53</v>
      </c>
      <c r="E16" s="5">
        <v>8.41</v>
      </c>
      <c r="F16" s="5">
        <v>13.6</v>
      </c>
      <c r="G16" s="5">
        <v>21.07</v>
      </c>
      <c r="H16" s="5" t="s">
        <v>13</v>
      </c>
      <c r="I16" s="5">
        <v>19.95</v>
      </c>
      <c r="K16" s="6">
        <v>596.76</v>
      </c>
      <c r="M16" s="5">
        <v>0.57999999999999996</v>
      </c>
      <c r="N16" s="5">
        <v>2.37</v>
      </c>
    </row>
    <row r="17" spans="1:14" ht="14.25" customHeight="1" x14ac:dyDescent="0.35">
      <c r="A17" s="4" t="s">
        <v>237</v>
      </c>
      <c r="B17" s="5">
        <v>0.72</v>
      </c>
      <c r="C17" s="5">
        <v>4.0599999999999996</v>
      </c>
      <c r="D17" s="5">
        <v>9.61</v>
      </c>
      <c r="E17" s="5">
        <v>6.1</v>
      </c>
      <c r="F17" s="5">
        <v>10.96</v>
      </c>
      <c r="G17" s="5">
        <v>15.27</v>
      </c>
      <c r="H17" s="5">
        <v>15.42</v>
      </c>
      <c r="I17" s="5">
        <v>14.56</v>
      </c>
      <c r="K17" s="6">
        <v>286.3</v>
      </c>
      <c r="M17" s="5">
        <v>0.84</v>
      </c>
      <c r="N17" s="5">
        <v>2.41</v>
      </c>
    </row>
    <row r="18" spans="1:14" ht="14.25" customHeight="1" x14ac:dyDescent="0.35">
      <c r="A18" s="4" t="s">
        <v>238</v>
      </c>
      <c r="B18" s="5">
        <v>-0.13</v>
      </c>
      <c r="C18" s="5">
        <v>3.04</v>
      </c>
      <c r="D18" s="5">
        <v>8.8000000000000007</v>
      </c>
      <c r="E18" s="5">
        <v>3.34</v>
      </c>
      <c r="F18" s="5">
        <v>12.74</v>
      </c>
      <c r="G18" s="5">
        <v>17.350000000000001</v>
      </c>
      <c r="H18" s="5">
        <v>14.32</v>
      </c>
      <c r="I18" s="5">
        <v>17.440000000000001</v>
      </c>
      <c r="K18" s="6">
        <v>4298.8</v>
      </c>
      <c r="M18" s="5">
        <v>0.54</v>
      </c>
      <c r="N18" s="5">
        <v>1.88</v>
      </c>
    </row>
    <row r="19" spans="1:14" ht="14.25" customHeight="1" x14ac:dyDescent="0.35">
      <c r="A19" s="4" t="s">
        <v>239</v>
      </c>
      <c r="B19" s="5">
        <v>0.59</v>
      </c>
      <c r="C19" s="5">
        <v>4.92</v>
      </c>
      <c r="D19" s="5">
        <v>14.01</v>
      </c>
      <c r="E19" s="5">
        <v>9.5399999999999991</v>
      </c>
      <c r="F19" s="5">
        <v>9.9</v>
      </c>
      <c r="G19" s="5">
        <v>11.63</v>
      </c>
      <c r="H19" s="5">
        <v>10.74</v>
      </c>
      <c r="I19" s="5">
        <v>11.09</v>
      </c>
      <c r="K19" s="6">
        <v>170.66</v>
      </c>
      <c r="M19" s="5">
        <v>0.54</v>
      </c>
      <c r="N19" s="5">
        <v>2.35</v>
      </c>
    </row>
    <row r="20" spans="1:14" ht="14.25" customHeight="1" x14ac:dyDescent="0.35">
      <c r="A20" s="4" t="s">
        <v>240</v>
      </c>
      <c r="B20" s="5">
        <v>-0.34</v>
      </c>
      <c r="C20" s="5">
        <v>1.02</v>
      </c>
      <c r="D20" s="5">
        <v>1.91</v>
      </c>
      <c r="E20" s="5">
        <v>-1.08</v>
      </c>
      <c r="F20" s="5">
        <v>5.61</v>
      </c>
      <c r="G20" s="5">
        <v>15.99</v>
      </c>
      <c r="H20" s="5">
        <v>15.42</v>
      </c>
      <c r="I20" s="5">
        <v>20.99</v>
      </c>
      <c r="K20" s="6">
        <v>2197.89</v>
      </c>
      <c r="M20" s="5">
        <v>0.52</v>
      </c>
      <c r="N20" s="5">
        <v>2.0099999999999998</v>
      </c>
    </row>
    <row r="21" spans="1:14" ht="14.25" customHeight="1" x14ac:dyDescent="0.35">
      <c r="A21" s="4" t="s">
        <v>241</v>
      </c>
      <c r="B21" s="5">
        <v>0.86</v>
      </c>
      <c r="C21" s="5">
        <v>4.0999999999999996</v>
      </c>
      <c r="D21" s="5">
        <v>10.93</v>
      </c>
      <c r="E21" s="5">
        <v>5.08</v>
      </c>
      <c r="F21" s="5">
        <v>1.18</v>
      </c>
      <c r="G21" s="5">
        <v>9.08</v>
      </c>
      <c r="H21" s="5">
        <v>7.95</v>
      </c>
      <c r="I21" s="5">
        <v>15.24</v>
      </c>
      <c r="K21" s="6">
        <v>6575.73</v>
      </c>
      <c r="M21" s="5">
        <v>0.63</v>
      </c>
      <c r="N21" s="5">
        <v>1.8</v>
      </c>
    </row>
    <row r="22" spans="1:14" ht="14.25" customHeight="1" x14ac:dyDescent="0.35">
      <c r="A22" s="4" t="s">
        <v>242</v>
      </c>
      <c r="B22" s="5">
        <v>1.3</v>
      </c>
      <c r="C22" s="5">
        <v>7.28</v>
      </c>
      <c r="D22" s="5">
        <v>15.71</v>
      </c>
      <c r="E22" s="5">
        <v>23.11</v>
      </c>
      <c r="F22" s="5">
        <v>27.44</v>
      </c>
      <c r="G22" s="5">
        <v>14.85</v>
      </c>
      <c r="H22" s="5">
        <v>11.35</v>
      </c>
      <c r="I22" s="5">
        <v>14.82</v>
      </c>
      <c r="K22" s="6">
        <v>1635.12</v>
      </c>
      <c r="M22" s="5">
        <v>0.99</v>
      </c>
      <c r="N22" s="5">
        <v>2.16</v>
      </c>
    </row>
    <row r="23" spans="1:14" ht="14.25" customHeight="1" x14ac:dyDescent="0.35">
      <c r="A23" s="4" t="s">
        <v>243</v>
      </c>
      <c r="B23" s="5">
        <v>-0.34</v>
      </c>
      <c r="C23" s="5">
        <v>1.83</v>
      </c>
      <c r="D23" s="5">
        <v>5.98</v>
      </c>
      <c r="E23" s="5">
        <v>1.9</v>
      </c>
      <c r="F23" s="5">
        <v>5.08</v>
      </c>
      <c r="G23" s="5">
        <v>11.95</v>
      </c>
      <c r="H23" s="5">
        <v>12.11</v>
      </c>
      <c r="I23" s="5">
        <v>16.53</v>
      </c>
      <c r="K23" s="6">
        <v>8531.15</v>
      </c>
      <c r="M23" s="5">
        <v>1.1299999999999999</v>
      </c>
      <c r="N23" s="5">
        <v>1.86</v>
      </c>
    </row>
    <row r="24" spans="1:14" ht="14.25" customHeight="1" x14ac:dyDescent="0.35">
      <c r="A24" s="4" t="s">
        <v>244</v>
      </c>
      <c r="B24" s="5">
        <v>-1.1100000000000001</v>
      </c>
      <c r="C24" s="5">
        <v>5.26</v>
      </c>
      <c r="D24" s="5">
        <v>10.25</v>
      </c>
      <c r="E24" s="5">
        <v>12.36</v>
      </c>
      <c r="F24" s="5">
        <v>22.84</v>
      </c>
      <c r="G24" s="5" t="s">
        <v>13</v>
      </c>
      <c r="H24" s="5" t="s">
        <v>13</v>
      </c>
      <c r="I24" s="5">
        <v>14.7</v>
      </c>
      <c r="K24" s="6">
        <v>3669.65</v>
      </c>
      <c r="M24" s="5">
        <v>0.97</v>
      </c>
      <c r="N24" s="5">
        <v>2.02</v>
      </c>
    </row>
    <row r="25" spans="1:14" ht="14.25" customHeight="1" x14ac:dyDescent="0.35">
      <c r="A25" s="4" t="s">
        <v>245</v>
      </c>
      <c r="B25" s="5">
        <v>0.35</v>
      </c>
      <c r="C25" s="5">
        <v>1.05</v>
      </c>
      <c r="D25" s="5">
        <v>8.4600000000000009</v>
      </c>
      <c r="E25" s="5">
        <v>12.55</v>
      </c>
      <c r="F25" s="5">
        <v>13.79</v>
      </c>
      <c r="G25" s="5">
        <v>15.57</v>
      </c>
      <c r="H25" s="5">
        <v>14.28</v>
      </c>
      <c r="I25" s="5">
        <v>16.95</v>
      </c>
      <c r="K25" s="6">
        <v>845.84</v>
      </c>
      <c r="M25" s="5">
        <v>0.87</v>
      </c>
      <c r="N25" s="5">
        <v>2.36</v>
      </c>
    </row>
    <row r="26" spans="1:14" ht="14.25" customHeight="1" x14ac:dyDescent="0.35">
      <c r="A26" s="4" t="s">
        <v>246</v>
      </c>
      <c r="B26" s="5">
        <v>0.43</v>
      </c>
      <c r="C26" s="5">
        <v>2.6</v>
      </c>
      <c r="D26" s="5">
        <v>5.54</v>
      </c>
      <c r="E26" s="5">
        <v>7.39</v>
      </c>
      <c r="F26" s="5">
        <v>16.510000000000002</v>
      </c>
      <c r="G26" s="5">
        <v>17.149999999999999</v>
      </c>
      <c r="H26" s="5">
        <v>13.65</v>
      </c>
      <c r="I26" s="5">
        <v>15.82</v>
      </c>
      <c r="K26" s="6">
        <v>47274.19</v>
      </c>
      <c r="M26" s="5">
        <v>0.77</v>
      </c>
      <c r="N26" s="5">
        <v>1.56</v>
      </c>
    </row>
    <row r="27" spans="1:14" ht="14.25" customHeight="1" x14ac:dyDescent="0.35">
      <c r="A27" s="4" t="s">
        <v>247</v>
      </c>
      <c r="B27" s="5">
        <v>0.23</v>
      </c>
      <c r="C27" s="5">
        <v>4.71</v>
      </c>
      <c r="D27" s="5">
        <v>10.33</v>
      </c>
      <c r="E27" s="5">
        <v>5.59</v>
      </c>
      <c r="F27" s="5">
        <v>7.59</v>
      </c>
      <c r="G27" s="5">
        <v>12.26</v>
      </c>
      <c r="H27" s="5">
        <v>11.34</v>
      </c>
      <c r="I27" s="5">
        <v>14.18</v>
      </c>
      <c r="K27" s="6">
        <v>1053.04</v>
      </c>
      <c r="M27" s="5">
        <v>1.26</v>
      </c>
      <c r="N27" s="5">
        <v>2.2999999999999998</v>
      </c>
    </row>
    <row r="28" spans="1:14" ht="14.25" customHeight="1" x14ac:dyDescent="0.35">
      <c r="A28" s="4" t="s">
        <v>248</v>
      </c>
      <c r="B28" s="5">
        <v>-0.95</v>
      </c>
      <c r="C28" s="5">
        <v>0.39</v>
      </c>
      <c r="D28" s="5">
        <v>2.9</v>
      </c>
      <c r="E28" s="5">
        <v>-0.44</v>
      </c>
      <c r="F28" s="5">
        <v>1.44</v>
      </c>
      <c r="G28" s="5">
        <v>12.01</v>
      </c>
      <c r="H28" s="5">
        <v>11.62</v>
      </c>
      <c r="I28" s="5">
        <v>15.24</v>
      </c>
      <c r="K28" s="6">
        <v>1760.25</v>
      </c>
      <c r="M28" s="5">
        <v>0.72</v>
      </c>
      <c r="N28" s="5">
        <v>2.09</v>
      </c>
    </row>
    <row r="29" spans="1:14" ht="14.25" customHeight="1" x14ac:dyDescent="0.35">
      <c r="A29" s="4" t="s">
        <v>249</v>
      </c>
      <c r="B29" s="5">
        <v>0.9</v>
      </c>
      <c r="C29" s="5">
        <v>3.57</v>
      </c>
      <c r="D29" s="5">
        <v>8.81</v>
      </c>
      <c r="E29" s="5">
        <v>10.59</v>
      </c>
      <c r="F29" s="5">
        <v>12.5</v>
      </c>
      <c r="G29" s="5">
        <v>13.73</v>
      </c>
      <c r="H29" s="5">
        <v>11.6</v>
      </c>
      <c r="I29" s="5">
        <v>16.989999999999998</v>
      </c>
      <c r="K29" s="6">
        <v>439.85</v>
      </c>
      <c r="M29" s="5">
        <v>1.55</v>
      </c>
      <c r="N29" s="5">
        <v>2.5299999999999998</v>
      </c>
    </row>
    <row r="30" spans="1:14" ht="14.25" customHeight="1" x14ac:dyDescent="0.35">
      <c r="A30" s="4" t="s">
        <v>250</v>
      </c>
      <c r="B30" s="5">
        <v>0.13</v>
      </c>
      <c r="C30" s="5">
        <v>3.82</v>
      </c>
      <c r="D30" s="5">
        <v>7.95</v>
      </c>
      <c r="E30" s="5">
        <v>2</v>
      </c>
      <c r="F30" s="5">
        <v>5.53</v>
      </c>
      <c r="G30" s="5">
        <v>12.59</v>
      </c>
      <c r="H30" s="5" t="s">
        <v>13</v>
      </c>
      <c r="I30" s="5">
        <v>11.2</v>
      </c>
      <c r="K30" s="6">
        <v>2413.44</v>
      </c>
      <c r="M30" s="5">
        <v>0.66</v>
      </c>
      <c r="N30" s="5">
        <v>2</v>
      </c>
    </row>
    <row r="31" spans="1:14" ht="14.25" customHeight="1" x14ac:dyDescent="0.35">
      <c r="A31" s="7" t="s">
        <v>49</v>
      </c>
      <c r="B31" s="8">
        <f t="shared" ref="B31:I31" si="0">MEDIAN(B3:B30)</f>
        <v>0.11</v>
      </c>
      <c r="C31" s="8">
        <f t="shared" si="0"/>
        <v>3.1150000000000002</v>
      </c>
      <c r="D31" s="8">
        <f t="shared" si="0"/>
        <v>8.1650000000000009</v>
      </c>
      <c r="E31" s="8">
        <f t="shared" si="0"/>
        <v>4.04</v>
      </c>
      <c r="F31" s="8">
        <f t="shared" si="0"/>
        <v>7.3</v>
      </c>
      <c r="G31" s="8">
        <f t="shared" si="0"/>
        <v>15.1</v>
      </c>
      <c r="H31" s="8">
        <f t="shared" si="0"/>
        <v>12.6</v>
      </c>
      <c r="I31" s="8">
        <f t="shared" si="0"/>
        <v>15.465</v>
      </c>
    </row>
    <row r="32" spans="1:14" ht="14.25" customHeight="1" x14ac:dyDescent="0.35">
      <c r="A32" s="2" t="s">
        <v>50</v>
      </c>
      <c r="B32" s="5" t="s">
        <v>13</v>
      </c>
      <c r="C32" s="5" t="s">
        <v>13</v>
      </c>
      <c r="D32" s="5" t="s">
        <v>13</v>
      </c>
      <c r="E32" s="5" t="s">
        <v>13</v>
      </c>
      <c r="F32" s="5" t="s">
        <v>13</v>
      </c>
      <c r="G32" s="5" t="s">
        <v>13</v>
      </c>
      <c r="H32" s="5" t="s">
        <v>13</v>
      </c>
      <c r="I32" s="5" t="s">
        <v>13</v>
      </c>
    </row>
    <row r="33" spans="1:9" ht="14.25" customHeight="1" x14ac:dyDescent="0.35">
      <c r="A33" s="4" t="s">
        <v>141</v>
      </c>
      <c r="B33" s="5">
        <v>-0.49</v>
      </c>
      <c r="C33" s="5">
        <v>1.7</v>
      </c>
      <c r="D33" s="5">
        <v>4.34</v>
      </c>
      <c r="E33" s="5">
        <v>1.2</v>
      </c>
      <c r="F33" s="5">
        <v>4.03</v>
      </c>
      <c r="G33" s="5">
        <v>11.92</v>
      </c>
      <c r="H33" s="5">
        <v>10.89</v>
      </c>
      <c r="I33" s="5"/>
    </row>
    <row r="34" spans="1:9" ht="14.25" customHeight="1" x14ac:dyDescent="0.35">
      <c r="A34" s="4" t="s">
        <v>129</v>
      </c>
      <c r="B34" s="5">
        <v>-0.48</v>
      </c>
      <c r="C34" s="5">
        <v>1.92</v>
      </c>
      <c r="D34" s="5">
        <v>4.93</v>
      </c>
      <c r="E34" s="5">
        <v>1.85</v>
      </c>
      <c r="F34" s="5">
        <v>4.99</v>
      </c>
      <c r="G34" s="5">
        <v>13</v>
      </c>
      <c r="H34" s="5">
        <v>12.02</v>
      </c>
      <c r="I34" s="5"/>
    </row>
  </sheetData>
  <mergeCells count="1">
    <mergeCell ref="M1:N1"/>
  </mergeCells>
  <conditionalFormatting sqref="F3:F30">
    <cfRule type="expression" dxfId="56" priority="2">
      <formula>AND(ISNUMBER(F3),F3&gt;MEDIAN($F$3:$F$30))</formula>
    </cfRule>
  </conditionalFormatting>
  <conditionalFormatting sqref="G3:G30">
    <cfRule type="expression" dxfId="55" priority="3">
      <formula>AND(ISNUMBER(G3),G3&gt;MEDIAN($G$3:$G$30))</formula>
    </cfRule>
  </conditionalFormatting>
  <conditionalFormatting sqref="H3:H30">
    <cfRule type="expression" dxfId="54" priority="4">
      <formula>AND(ISNUMBER(H3),H3&gt;MEDIAN($H$3:$H$30))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"/>
  <sheetViews>
    <sheetView topLeftCell="A10" zoomScale="70" zoomScaleNormal="70" workbookViewId="0">
      <selection activeCell="I40" sqref="I40"/>
    </sheetView>
  </sheetViews>
  <sheetFormatPr defaultColWidth="8.54296875" defaultRowHeight="14.5" x14ac:dyDescent="0.35"/>
  <cols>
    <col min="1" max="1" width="50.089843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54296875" customWidth="1"/>
    <col min="11" max="11" width="12.90625" customWidth="1"/>
    <col min="12" max="12" width="2.7265625" customWidth="1"/>
    <col min="13" max="13" width="5.90625" customWidth="1"/>
    <col min="14" max="14" width="7.1796875" customWidth="1"/>
  </cols>
  <sheetData>
    <row r="1" spans="1:15" ht="14.25" customHeight="1" x14ac:dyDescent="0.35">
      <c r="A1" s="1" t="str">
        <f>'Small Cap'!A1</f>
        <v>( As on 14-08-26 )</v>
      </c>
      <c r="M1" s="34">
        <v>46082</v>
      </c>
      <c r="N1" s="34"/>
      <c r="O1" s="11"/>
    </row>
    <row r="2" spans="1:15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5" ht="14.25" customHeight="1" x14ac:dyDescent="0.35">
      <c r="A3" s="4" t="s">
        <v>251</v>
      </c>
      <c r="B3" s="5">
        <v>0.34</v>
      </c>
      <c r="C3" s="5">
        <v>4.3600000000000003</v>
      </c>
      <c r="D3" s="5">
        <v>8.3800000000000008</v>
      </c>
      <c r="E3" s="5">
        <v>5.64</v>
      </c>
      <c r="F3" s="5">
        <v>10.75</v>
      </c>
      <c r="G3" s="5">
        <v>13.78</v>
      </c>
      <c r="H3" s="5">
        <v>9.99</v>
      </c>
      <c r="I3" s="5">
        <v>14.92</v>
      </c>
      <c r="K3" s="4">
        <v>5783.95</v>
      </c>
      <c r="M3" s="5">
        <v>1.0900000000000001</v>
      </c>
      <c r="N3" s="5">
        <v>1.9</v>
      </c>
    </row>
    <row r="4" spans="1:15" ht="14.25" customHeight="1" x14ac:dyDescent="0.35">
      <c r="A4" s="4" t="s">
        <v>252</v>
      </c>
      <c r="B4" s="5">
        <v>0.33</v>
      </c>
      <c r="C4" s="5">
        <v>3.14</v>
      </c>
      <c r="D4" s="5">
        <v>7.91</v>
      </c>
      <c r="E4" s="5">
        <v>7.49</v>
      </c>
      <c r="F4" s="5">
        <v>10.57</v>
      </c>
      <c r="G4" s="5">
        <v>17.59</v>
      </c>
      <c r="H4" s="5">
        <v>14.26</v>
      </c>
      <c r="I4" s="5">
        <v>19.190000000000001</v>
      </c>
      <c r="K4" s="4">
        <v>16469.27</v>
      </c>
      <c r="M4" s="5">
        <v>0.61</v>
      </c>
      <c r="N4" s="5">
        <v>1.69</v>
      </c>
    </row>
    <row r="5" spans="1:15" ht="14.25" customHeight="1" x14ac:dyDescent="0.35">
      <c r="A5" s="4" t="s">
        <v>253</v>
      </c>
      <c r="B5" s="5">
        <v>-0.7</v>
      </c>
      <c r="C5" s="5">
        <v>2.35</v>
      </c>
      <c r="D5" s="5">
        <v>6.3</v>
      </c>
      <c r="E5" s="5">
        <v>2.39</v>
      </c>
      <c r="F5" s="5">
        <v>6.27</v>
      </c>
      <c r="G5" s="5" t="s">
        <v>13</v>
      </c>
      <c r="H5" s="5" t="s">
        <v>13</v>
      </c>
      <c r="I5" s="5">
        <v>11.15</v>
      </c>
      <c r="K5" s="4">
        <v>2403.17</v>
      </c>
      <c r="M5" s="5">
        <v>0.61</v>
      </c>
      <c r="N5" s="5">
        <v>2.02</v>
      </c>
    </row>
    <row r="6" spans="1:15" ht="14.25" customHeight="1" x14ac:dyDescent="0.35">
      <c r="A6" s="4" t="s">
        <v>254</v>
      </c>
      <c r="B6" s="5">
        <v>0.26</v>
      </c>
      <c r="C6" s="5">
        <v>1.24</v>
      </c>
      <c r="D6" s="5">
        <v>3.09</v>
      </c>
      <c r="E6" s="5">
        <v>3.75</v>
      </c>
      <c r="F6" s="5">
        <v>8.6</v>
      </c>
      <c r="G6" s="5">
        <v>20.02</v>
      </c>
      <c r="H6" s="5">
        <v>17.86</v>
      </c>
      <c r="I6" s="5">
        <v>15.75</v>
      </c>
      <c r="K6" s="4">
        <v>18783.25</v>
      </c>
      <c r="M6" s="5">
        <v>0.54</v>
      </c>
      <c r="N6" s="5">
        <v>1.68</v>
      </c>
    </row>
    <row r="7" spans="1:15" ht="14.25" customHeight="1" x14ac:dyDescent="0.35">
      <c r="A7" s="4" t="s">
        <v>255</v>
      </c>
      <c r="B7" s="5">
        <v>0.16</v>
      </c>
      <c r="C7" s="5">
        <v>1.99</v>
      </c>
      <c r="D7" s="5">
        <v>5.07</v>
      </c>
      <c r="E7" s="5">
        <v>5.41</v>
      </c>
      <c r="F7" s="5">
        <v>11.45</v>
      </c>
      <c r="G7" s="5">
        <v>16.03</v>
      </c>
      <c r="H7" s="5">
        <v>13.3</v>
      </c>
      <c r="I7" s="5">
        <v>13.92</v>
      </c>
      <c r="K7" s="4">
        <v>491.08</v>
      </c>
      <c r="M7" s="5">
        <v>1.05</v>
      </c>
      <c r="N7" s="5">
        <v>2.2999999999999998</v>
      </c>
    </row>
    <row r="8" spans="1:15" ht="14.25" customHeight="1" x14ac:dyDescent="0.35">
      <c r="A8" s="4" t="s">
        <v>256</v>
      </c>
      <c r="B8" s="5">
        <v>0.28999999999999998</v>
      </c>
      <c r="C8" s="5">
        <v>3.32</v>
      </c>
      <c r="D8" s="5">
        <v>6.54</v>
      </c>
      <c r="E8" s="5">
        <v>3.65</v>
      </c>
      <c r="F8" s="5">
        <v>8.18</v>
      </c>
      <c r="G8" s="5">
        <v>16.420000000000002</v>
      </c>
      <c r="H8" s="5">
        <v>14.86</v>
      </c>
      <c r="I8" s="5">
        <v>20.69</v>
      </c>
      <c r="K8" s="4">
        <v>1794.44</v>
      </c>
      <c r="M8" s="5">
        <v>0.84</v>
      </c>
      <c r="N8" s="5">
        <v>2.09</v>
      </c>
    </row>
    <row r="9" spans="1:15" ht="14.25" customHeight="1" x14ac:dyDescent="0.35">
      <c r="A9" s="4" t="s">
        <v>257</v>
      </c>
      <c r="B9" s="5">
        <v>0.35</v>
      </c>
      <c r="C9" s="5">
        <v>3.31</v>
      </c>
      <c r="D9" s="5">
        <v>8.0399999999999991</v>
      </c>
      <c r="E9" s="5">
        <v>5.39</v>
      </c>
      <c r="F9" s="5">
        <v>3.63</v>
      </c>
      <c r="G9" s="5">
        <v>14.97</v>
      </c>
      <c r="H9" s="5">
        <v>12.5</v>
      </c>
      <c r="I9" s="5">
        <v>19.14</v>
      </c>
      <c r="K9" s="4">
        <v>25251.41</v>
      </c>
      <c r="M9" s="5">
        <v>0.65</v>
      </c>
      <c r="N9" s="5">
        <v>1.63</v>
      </c>
    </row>
    <row r="10" spans="1:15" ht="14.25" customHeight="1" x14ac:dyDescent="0.35">
      <c r="A10" s="4" t="s">
        <v>258</v>
      </c>
      <c r="B10" s="5">
        <v>-0.63</v>
      </c>
      <c r="C10" s="5">
        <v>0.4</v>
      </c>
      <c r="D10" s="5">
        <v>4.3</v>
      </c>
      <c r="E10" s="5">
        <v>-1.19</v>
      </c>
      <c r="F10" s="5">
        <v>4.92</v>
      </c>
      <c r="G10" s="5">
        <v>16.07</v>
      </c>
      <c r="H10" s="5">
        <v>13.37</v>
      </c>
      <c r="I10" s="5">
        <v>16.190000000000001</v>
      </c>
      <c r="K10" s="4">
        <v>17905.88</v>
      </c>
      <c r="M10" s="5">
        <v>0.65</v>
      </c>
      <c r="N10" s="5">
        <v>1.69</v>
      </c>
    </row>
    <row r="11" spans="1:15" ht="14.25" customHeight="1" x14ac:dyDescent="0.35">
      <c r="A11" s="4" t="s">
        <v>259</v>
      </c>
      <c r="B11" s="5">
        <v>0.17</v>
      </c>
      <c r="C11" s="5">
        <v>2.58</v>
      </c>
      <c r="D11" s="5">
        <v>6.03</v>
      </c>
      <c r="E11" s="5">
        <v>4.66</v>
      </c>
      <c r="F11" s="5">
        <v>9.23</v>
      </c>
      <c r="G11" s="5">
        <v>16.72</v>
      </c>
      <c r="H11" s="5">
        <v>14.74</v>
      </c>
      <c r="I11" s="5">
        <v>16.13</v>
      </c>
      <c r="K11" s="4">
        <v>4683.3599999999997</v>
      </c>
      <c r="M11" s="5">
        <v>0.45</v>
      </c>
      <c r="N11" s="5">
        <v>1.86</v>
      </c>
    </row>
    <row r="12" spans="1:15" ht="14.25" customHeight="1" x14ac:dyDescent="0.35">
      <c r="A12" s="4" t="s">
        <v>260</v>
      </c>
      <c r="B12" s="5">
        <v>0.13</v>
      </c>
      <c r="C12" s="5">
        <v>2.84</v>
      </c>
      <c r="D12" s="5">
        <v>7.32</v>
      </c>
      <c r="E12" s="5">
        <v>3.32</v>
      </c>
      <c r="F12" s="5">
        <v>3.99</v>
      </c>
      <c r="G12" s="5">
        <v>13.87</v>
      </c>
      <c r="H12" s="5">
        <v>11.77</v>
      </c>
      <c r="I12" s="5">
        <v>14.15</v>
      </c>
      <c r="K12" s="4">
        <v>3450.48</v>
      </c>
      <c r="M12" s="5">
        <v>1.36</v>
      </c>
      <c r="N12" s="5">
        <v>2.0499999999999998</v>
      </c>
    </row>
    <row r="13" spans="1:15" ht="14.25" customHeight="1" x14ac:dyDescent="0.35">
      <c r="A13" s="4" t="s">
        <v>261</v>
      </c>
      <c r="B13" s="5">
        <v>-0.36</v>
      </c>
      <c r="C13" s="5">
        <v>2.1800000000000002</v>
      </c>
      <c r="D13" s="5">
        <v>6.6</v>
      </c>
      <c r="E13" s="5">
        <v>3.33</v>
      </c>
      <c r="F13" s="5">
        <v>6.55</v>
      </c>
      <c r="G13" s="5">
        <v>15.61</v>
      </c>
      <c r="H13" s="5">
        <v>16.399999999999999</v>
      </c>
      <c r="I13" s="5">
        <v>13.47</v>
      </c>
      <c r="K13" s="4">
        <v>29284.71</v>
      </c>
      <c r="M13" s="5">
        <v>0.88</v>
      </c>
      <c r="N13" s="5">
        <v>1.64</v>
      </c>
    </row>
    <row r="14" spans="1:15" ht="14.25" customHeight="1" x14ac:dyDescent="0.35">
      <c r="A14" s="4" t="s">
        <v>262</v>
      </c>
      <c r="B14" s="5">
        <v>0.43</v>
      </c>
      <c r="C14" s="5">
        <v>0.77</v>
      </c>
      <c r="D14" s="5">
        <v>6.15</v>
      </c>
      <c r="E14" s="5">
        <v>5.27</v>
      </c>
      <c r="F14" s="5">
        <v>9.73</v>
      </c>
      <c r="G14" s="5" t="s">
        <v>13</v>
      </c>
      <c r="H14" s="5" t="s">
        <v>13</v>
      </c>
      <c r="I14" s="5">
        <v>9.33</v>
      </c>
      <c r="K14" s="4">
        <v>1303.79</v>
      </c>
      <c r="M14" s="5">
        <v>0.72</v>
      </c>
      <c r="N14" s="5">
        <v>2.3199999999999998</v>
      </c>
    </row>
    <row r="15" spans="1:15" ht="14.25" customHeight="1" x14ac:dyDescent="0.35">
      <c r="A15" s="4" t="s">
        <v>263</v>
      </c>
      <c r="B15" s="5">
        <v>0.47</v>
      </c>
      <c r="C15" s="5">
        <v>3.05</v>
      </c>
      <c r="D15" s="5">
        <v>7.58</v>
      </c>
      <c r="E15" s="5">
        <v>10.34</v>
      </c>
      <c r="F15" s="5">
        <v>15.13</v>
      </c>
      <c r="G15" s="5">
        <v>20.16</v>
      </c>
      <c r="H15" s="5">
        <v>16.27</v>
      </c>
      <c r="I15" s="5">
        <v>17.670000000000002</v>
      </c>
      <c r="K15" s="4">
        <v>5343.7</v>
      </c>
      <c r="M15" s="5">
        <v>0.78</v>
      </c>
      <c r="N15" s="5">
        <v>1.9</v>
      </c>
    </row>
    <row r="16" spans="1:15" ht="14.25" customHeight="1" x14ac:dyDescent="0.35">
      <c r="A16" s="4" t="s">
        <v>264</v>
      </c>
      <c r="B16" s="5">
        <v>-0.55000000000000004</v>
      </c>
      <c r="C16" s="5">
        <v>2.7</v>
      </c>
      <c r="D16" s="5">
        <v>7.12</v>
      </c>
      <c r="E16" s="5">
        <v>2.75</v>
      </c>
      <c r="F16" s="5">
        <v>9.49</v>
      </c>
      <c r="G16" s="5">
        <v>18.09</v>
      </c>
      <c r="H16" s="5">
        <v>18.03</v>
      </c>
      <c r="I16" s="5">
        <v>16.22</v>
      </c>
      <c r="K16" s="4">
        <v>30971.14</v>
      </c>
      <c r="M16" s="5">
        <v>0.8</v>
      </c>
      <c r="N16" s="5">
        <v>1.64</v>
      </c>
    </row>
    <row r="17" spans="1:14" ht="14.25" customHeight="1" x14ac:dyDescent="0.35">
      <c r="A17" s="4" t="s">
        <v>265</v>
      </c>
      <c r="B17" s="5">
        <v>-0.12</v>
      </c>
      <c r="C17" s="5">
        <v>2.06</v>
      </c>
      <c r="D17" s="5">
        <v>11.72</v>
      </c>
      <c r="E17" s="5">
        <v>11.47</v>
      </c>
      <c r="F17" s="5">
        <v>11.26</v>
      </c>
      <c r="G17" s="5">
        <v>24.93</v>
      </c>
      <c r="H17" s="5">
        <v>18.66</v>
      </c>
      <c r="I17" s="5">
        <v>18.12</v>
      </c>
      <c r="K17" s="4">
        <v>11164.32</v>
      </c>
      <c r="M17" s="5">
        <v>0.61</v>
      </c>
      <c r="N17" s="5">
        <v>1.76</v>
      </c>
    </row>
    <row r="18" spans="1:14" ht="14.25" customHeight="1" x14ac:dyDescent="0.35">
      <c r="A18" s="4" t="s">
        <v>266</v>
      </c>
      <c r="B18" s="5">
        <v>0.02</v>
      </c>
      <c r="C18" s="5">
        <v>2.27</v>
      </c>
      <c r="D18" s="5">
        <v>7.12</v>
      </c>
      <c r="E18" s="5">
        <v>8.08</v>
      </c>
      <c r="F18" s="5">
        <v>8.16</v>
      </c>
      <c r="G18" s="5" t="s">
        <v>13</v>
      </c>
      <c r="H18" s="5" t="s">
        <v>13</v>
      </c>
      <c r="I18" s="5">
        <v>1.72</v>
      </c>
      <c r="K18" s="4">
        <v>743.86</v>
      </c>
      <c r="M18" s="5">
        <v>0.44</v>
      </c>
      <c r="N18" s="5">
        <v>2.2400000000000002</v>
      </c>
    </row>
    <row r="19" spans="1:14" ht="14.25" customHeight="1" x14ac:dyDescent="0.35">
      <c r="A19" s="4" t="s">
        <v>267</v>
      </c>
      <c r="B19" s="5">
        <v>-0.05</v>
      </c>
      <c r="C19" s="5">
        <v>3.72</v>
      </c>
      <c r="D19" s="5">
        <v>9.25</v>
      </c>
      <c r="E19" s="5">
        <v>7.17</v>
      </c>
      <c r="F19" s="5">
        <v>10.07</v>
      </c>
      <c r="G19" s="5" t="s">
        <v>13</v>
      </c>
      <c r="H19" s="5" t="s">
        <v>13</v>
      </c>
      <c r="I19" s="5">
        <v>9.69</v>
      </c>
      <c r="K19" s="4">
        <v>435.38</v>
      </c>
      <c r="M19" s="5">
        <v>0.67</v>
      </c>
      <c r="N19" s="5">
        <v>2.38</v>
      </c>
    </row>
    <row r="20" spans="1:14" ht="14.25" customHeight="1" x14ac:dyDescent="0.35">
      <c r="A20" s="4" t="s">
        <v>268</v>
      </c>
      <c r="B20" s="5">
        <v>-0.5</v>
      </c>
      <c r="C20" s="5">
        <v>1.45</v>
      </c>
      <c r="D20" s="5">
        <v>6.12</v>
      </c>
      <c r="E20" s="5">
        <v>0.44</v>
      </c>
      <c r="F20" s="5">
        <v>7.54</v>
      </c>
      <c r="G20" s="5">
        <v>16.18</v>
      </c>
      <c r="H20" s="5">
        <v>15.13</v>
      </c>
      <c r="I20" s="5">
        <v>16.66</v>
      </c>
      <c r="K20" s="4">
        <v>31262.73</v>
      </c>
      <c r="M20" s="5">
        <v>0.55000000000000004</v>
      </c>
      <c r="N20" s="5">
        <v>1.59</v>
      </c>
    </row>
    <row r="21" spans="1:14" ht="14.25" customHeight="1" x14ac:dyDescent="0.35">
      <c r="A21" s="4" t="s">
        <v>269</v>
      </c>
      <c r="B21" s="5">
        <v>0.11</v>
      </c>
      <c r="C21" s="5">
        <v>2.36</v>
      </c>
      <c r="D21" s="5">
        <v>7.86</v>
      </c>
      <c r="E21" s="5">
        <v>4.1100000000000003</v>
      </c>
      <c r="F21" s="5">
        <v>6.26</v>
      </c>
      <c r="G21" s="5">
        <v>16.53</v>
      </c>
      <c r="H21" s="5">
        <v>13.45</v>
      </c>
      <c r="I21" s="5">
        <v>14.32</v>
      </c>
      <c r="K21" s="4">
        <v>3092.95</v>
      </c>
      <c r="M21" s="5">
        <v>0.9</v>
      </c>
      <c r="N21" s="5">
        <v>1.99</v>
      </c>
    </row>
    <row r="22" spans="1:14" ht="14.25" customHeight="1" x14ac:dyDescent="0.35">
      <c r="A22" s="4" t="s">
        <v>270</v>
      </c>
      <c r="B22" s="5">
        <v>0.89</v>
      </c>
      <c r="C22" s="5">
        <v>3.28</v>
      </c>
      <c r="D22" s="5">
        <v>8.39</v>
      </c>
      <c r="E22" s="5">
        <v>5.68</v>
      </c>
      <c r="F22" s="5">
        <v>9.5</v>
      </c>
      <c r="G22" s="5">
        <v>15.04</v>
      </c>
      <c r="H22" s="5">
        <v>14.73</v>
      </c>
      <c r="I22" s="5">
        <v>19.02</v>
      </c>
      <c r="K22" s="4">
        <v>2763.07</v>
      </c>
      <c r="M22" s="5">
        <v>0.57999999999999996</v>
      </c>
      <c r="N22" s="5">
        <v>1.96</v>
      </c>
    </row>
    <row r="23" spans="1:14" ht="14.25" customHeight="1" x14ac:dyDescent="0.35">
      <c r="A23" s="4" t="s">
        <v>271</v>
      </c>
      <c r="B23" s="5">
        <v>-0.34</v>
      </c>
      <c r="C23" s="5">
        <v>1.54</v>
      </c>
      <c r="D23" s="5">
        <v>6.19</v>
      </c>
      <c r="E23" s="5">
        <v>3.27</v>
      </c>
      <c r="F23" s="5">
        <v>9.17</v>
      </c>
      <c r="G23" s="5">
        <v>14.59</v>
      </c>
      <c r="H23" s="5">
        <v>12.46</v>
      </c>
      <c r="I23" s="5">
        <v>20.64</v>
      </c>
      <c r="K23" s="4">
        <v>44048.03</v>
      </c>
      <c r="M23" s="5">
        <v>0.63</v>
      </c>
      <c r="N23" s="5">
        <v>1.54</v>
      </c>
    </row>
    <row r="24" spans="1:14" ht="14.25" customHeight="1" x14ac:dyDescent="0.35">
      <c r="A24" s="4" t="s">
        <v>272</v>
      </c>
      <c r="B24" s="5">
        <v>1.6</v>
      </c>
      <c r="C24" s="5">
        <v>3.7</v>
      </c>
      <c r="D24" s="5">
        <v>6.3</v>
      </c>
      <c r="E24" s="5">
        <v>13.44</v>
      </c>
      <c r="F24" s="5">
        <v>13.61</v>
      </c>
      <c r="G24" s="5">
        <v>24.32</v>
      </c>
      <c r="H24" s="5">
        <v>19.78</v>
      </c>
      <c r="I24" s="5">
        <v>22.83</v>
      </c>
      <c r="K24" s="4">
        <v>18413.16</v>
      </c>
      <c r="M24" s="5">
        <v>0.76</v>
      </c>
      <c r="N24" s="5">
        <v>1.7</v>
      </c>
    </row>
    <row r="25" spans="1:14" ht="14.25" customHeight="1" x14ac:dyDescent="0.35">
      <c r="A25" s="4" t="s">
        <v>273</v>
      </c>
      <c r="B25" s="5">
        <v>7.0000000000000007E-2</v>
      </c>
      <c r="C25" s="5">
        <v>2.71</v>
      </c>
      <c r="D25" s="5">
        <v>7.05</v>
      </c>
      <c r="E25" s="5">
        <v>6.24</v>
      </c>
      <c r="F25" s="5">
        <v>9.43</v>
      </c>
      <c r="G25" s="5">
        <v>12.27</v>
      </c>
      <c r="H25" s="5">
        <v>12.95</v>
      </c>
      <c r="I25" s="5">
        <v>15.18</v>
      </c>
      <c r="K25" s="4">
        <v>310.12</v>
      </c>
      <c r="M25" s="5">
        <v>0.51</v>
      </c>
      <c r="N25" s="5">
        <v>2.25</v>
      </c>
    </row>
    <row r="26" spans="1:14" ht="14.25" customHeight="1" x14ac:dyDescent="0.35">
      <c r="A26" s="4" t="s">
        <v>274</v>
      </c>
      <c r="B26" s="5">
        <v>-0.13</v>
      </c>
      <c r="C26" s="5">
        <v>2.81</v>
      </c>
      <c r="D26" s="5">
        <v>5.29</v>
      </c>
      <c r="E26" s="5">
        <v>2.92</v>
      </c>
      <c r="F26" s="5">
        <v>6.89</v>
      </c>
      <c r="G26" s="5">
        <v>17.47</v>
      </c>
      <c r="H26" s="5">
        <v>15</v>
      </c>
      <c r="I26" s="5">
        <v>14.23</v>
      </c>
      <c r="K26" s="4">
        <v>7459.12</v>
      </c>
      <c r="M26" s="5">
        <v>1.1399999999999999</v>
      </c>
      <c r="N26" s="5">
        <v>1.89</v>
      </c>
    </row>
    <row r="27" spans="1:14" ht="14.25" customHeight="1" x14ac:dyDescent="0.35">
      <c r="A27" s="4" t="s">
        <v>275</v>
      </c>
      <c r="B27" s="5">
        <v>0.6</v>
      </c>
      <c r="C27" s="5">
        <v>3.37</v>
      </c>
      <c r="D27" s="5">
        <v>8.01</v>
      </c>
      <c r="E27" s="5">
        <v>5.61</v>
      </c>
      <c r="F27" s="5">
        <v>5.56</v>
      </c>
      <c r="G27" s="5" t="s">
        <v>13</v>
      </c>
      <c r="H27" s="5" t="s">
        <v>13</v>
      </c>
      <c r="I27" s="5">
        <v>12.67</v>
      </c>
      <c r="K27" s="4">
        <v>807.22</v>
      </c>
      <c r="M27" s="5">
        <v>0.65</v>
      </c>
      <c r="N27" s="5">
        <v>2.31</v>
      </c>
    </row>
    <row r="28" spans="1:14" ht="14.25" customHeight="1" x14ac:dyDescent="0.35">
      <c r="A28" s="4" t="s">
        <v>276</v>
      </c>
      <c r="B28" s="5">
        <v>-1.3</v>
      </c>
      <c r="C28" s="5">
        <v>1.03</v>
      </c>
      <c r="D28" s="5">
        <v>5.8</v>
      </c>
      <c r="E28" s="5">
        <v>18.53</v>
      </c>
      <c r="F28" s="5">
        <v>14.8</v>
      </c>
      <c r="G28" s="5">
        <v>17.559999999999999</v>
      </c>
      <c r="H28" s="5">
        <v>17.47</v>
      </c>
      <c r="I28" s="5">
        <v>18.13</v>
      </c>
      <c r="K28" s="4">
        <v>3449.51</v>
      </c>
      <c r="M28" s="5">
        <v>0.81</v>
      </c>
      <c r="N28" s="5">
        <v>1.99</v>
      </c>
    </row>
    <row r="29" spans="1:14" ht="14.25" customHeight="1" x14ac:dyDescent="0.35">
      <c r="A29" s="4" t="s">
        <v>277</v>
      </c>
      <c r="B29" s="5">
        <v>0.11</v>
      </c>
      <c r="C29" s="5">
        <v>1.67</v>
      </c>
      <c r="D29" s="5">
        <v>0</v>
      </c>
      <c r="E29" s="5">
        <v>-0.43</v>
      </c>
      <c r="F29" s="5">
        <v>-5.2</v>
      </c>
      <c r="G29" s="5" t="s">
        <v>13</v>
      </c>
      <c r="H29" s="5" t="s">
        <v>13</v>
      </c>
      <c r="I29" s="5">
        <v>-7.78</v>
      </c>
      <c r="K29" s="4">
        <v>113.87</v>
      </c>
      <c r="M29" s="5">
        <v>0.79</v>
      </c>
      <c r="N29" s="5">
        <v>2.39</v>
      </c>
    </row>
    <row r="30" spans="1:14" ht="14.25" customHeight="1" x14ac:dyDescent="0.35">
      <c r="A30" s="4" t="s">
        <v>278</v>
      </c>
      <c r="B30" s="5">
        <v>-0.77</v>
      </c>
      <c r="C30" s="5">
        <v>1.25</v>
      </c>
      <c r="D30" s="5">
        <v>5.37</v>
      </c>
      <c r="E30" s="5">
        <v>1.6</v>
      </c>
      <c r="F30" s="5">
        <v>8.14</v>
      </c>
      <c r="G30" s="5">
        <v>15.21</v>
      </c>
      <c r="H30" s="5">
        <v>14.92</v>
      </c>
      <c r="I30" s="5">
        <v>16.64</v>
      </c>
      <c r="K30" s="4">
        <v>40849.93</v>
      </c>
      <c r="M30" s="5">
        <v>0.74</v>
      </c>
      <c r="N30" s="5">
        <v>1.57</v>
      </c>
    </row>
    <row r="31" spans="1:14" ht="14.25" customHeight="1" x14ac:dyDescent="0.35">
      <c r="A31" s="4" t="s">
        <v>279</v>
      </c>
      <c r="B31" s="5">
        <v>0.92</v>
      </c>
      <c r="C31" s="5">
        <v>5.18</v>
      </c>
      <c r="D31" s="5">
        <v>14</v>
      </c>
      <c r="E31" s="5">
        <v>9.59</v>
      </c>
      <c r="F31" s="5">
        <v>14.73</v>
      </c>
      <c r="G31" s="5">
        <v>17.3</v>
      </c>
      <c r="H31" s="5">
        <v>14.33</v>
      </c>
      <c r="I31" s="5">
        <v>15.42</v>
      </c>
      <c r="K31" s="4">
        <v>6990.73</v>
      </c>
      <c r="M31" s="5">
        <v>0.7</v>
      </c>
      <c r="N31" s="5">
        <v>1.81</v>
      </c>
    </row>
    <row r="32" spans="1:14" ht="14.25" customHeight="1" x14ac:dyDescent="0.35">
      <c r="A32" s="4" t="s">
        <v>280</v>
      </c>
      <c r="B32" s="5">
        <v>-1.61</v>
      </c>
      <c r="C32" s="5">
        <v>0.57999999999999996</v>
      </c>
      <c r="D32" s="5">
        <v>5.44</v>
      </c>
      <c r="E32" s="5">
        <v>0.8</v>
      </c>
      <c r="F32" s="5">
        <v>-1.1599999999999999</v>
      </c>
      <c r="G32" s="5">
        <v>8.99</v>
      </c>
      <c r="H32" s="5">
        <v>11</v>
      </c>
      <c r="I32" s="5">
        <v>14.79</v>
      </c>
      <c r="K32" s="4">
        <v>7887.02</v>
      </c>
      <c r="M32" s="5">
        <v>0.7</v>
      </c>
      <c r="N32" s="5">
        <v>1.76</v>
      </c>
    </row>
    <row r="33" spans="1:14" ht="14.25" customHeight="1" x14ac:dyDescent="0.35">
      <c r="A33" s="4" t="s">
        <v>281</v>
      </c>
      <c r="B33" s="5">
        <v>0.6</v>
      </c>
      <c r="C33" s="5">
        <v>4.03</v>
      </c>
      <c r="D33" s="5">
        <v>8.94</v>
      </c>
      <c r="E33" s="5">
        <v>7.42</v>
      </c>
      <c r="F33" s="5">
        <v>10.63</v>
      </c>
      <c r="G33" s="5">
        <v>15.25</v>
      </c>
      <c r="H33" s="5">
        <v>13.83</v>
      </c>
      <c r="I33" s="5">
        <v>17.82</v>
      </c>
      <c r="K33" s="4">
        <v>965.21</v>
      </c>
      <c r="M33" s="5">
        <v>1.08</v>
      </c>
      <c r="N33" s="5">
        <v>2.33</v>
      </c>
    </row>
    <row r="34" spans="1:14" ht="14.25" customHeight="1" x14ac:dyDescent="0.35">
      <c r="A34" s="4" t="s">
        <v>282</v>
      </c>
      <c r="B34" s="5">
        <v>0.05</v>
      </c>
      <c r="C34" s="5">
        <v>1.61</v>
      </c>
      <c r="D34" s="5">
        <v>4.9400000000000004</v>
      </c>
      <c r="E34" s="5">
        <v>2.3199999999999998</v>
      </c>
      <c r="F34" s="5">
        <v>7.97</v>
      </c>
      <c r="G34" s="5">
        <v>17.45</v>
      </c>
      <c r="H34" s="5">
        <v>15.54</v>
      </c>
      <c r="I34" s="5">
        <v>14.68</v>
      </c>
      <c r="K34" s="4">
        <v>6217.83</v>
      </c>
      <c r="M34" s="5">
        <v>0.88</v>
      </c>
      <c r="N34" s="5">
        <v>1.84</v>
      </c>
    </row>
    <row r="35" spans="1:14" ht="14.25" customHeight="1" x14ac:dyDescent="0.35">
      <c r="A35" s="4" t="s">
        <v>283</v>
      </c>
      <c r="B35" s="5">
        <v>0.16</v>
      </c>
      <c r="C35" s="5">
        <v>2.52</v>
      </c>
      <c r="D35" s="5">
        <v>7.72</v>
      </c>
      <c r="E35" s="5">
        <v>6.4</v>
      </c>
      <c r="F35" s="5">
        <v>10.63</v>
      </c>
      <c r="G35" s="5" t="s">
        <v>13</v>
      </c>
      <c r="H35" s="5" t="s">
        <v>13</v>
      </c>
      <c r="I35" s="5">
        <v>15.67</v>
      </c>
      <c r="K35" s="4">
        <v>2325.5</v>
      </c>
      <c r="M35" s="5">
        <v>0.67</v>
      </c>
      <c r="N35" s="5">
        <v>2.0499999999999998</v>
      </c>
    </row>
    <row r="36" spans="1:14" ht="14.25" customHeight="1" x14ac:dyDescent="0.35">
      <c r="A36" s="7" t="s">
        <v>49</v>
      </c>
      <c r="B36" s="8">
        <f t="shared" ref="B36:I36" si="0">MEDIAN(B3:B35)</f>
        <v>0.11</v>
      </c>
      <c r="C36" s="8">
        <f t="shared" si="0"/>
        <v>2.52</v>
      </c>
      <c r="D36" s="8">
        <f t="shared" si="0"/>
        <v>6.6</v>
      </c>
      <c r="E36" s="8">
        <f t="shared" si="0"/>
        <v>5.27</v>
      </c>
      <c r="F36" s="8">
        <f t="shared" si="0"/>
        <v>9.17</v>
      </c>
      <c r="G36" s="8">
        <f t="shared" si="0"/>
        <v>16.3</v>
      </c>
      <c r="H36" s="8">
        <f t="shared" si="0"/>
        <v>14.734999999999999</v>
      </c>
      <c r="I36" s="8">
        <f t="shared" si="0"/>
        <v>15.67</v>
      </c>
    </row>
    <row r="37" spans="1:14" ht="14.25" customHeight="1" x14ac:dyDescent="0.35">
      <c r="A37" s="2" t="s">
        <v>50</v>
      </c>
      <c r="B37" s="5" t="s">
        <v>13</v>
      </c>
      <c r="C37" s="5" t="s">
        <v>13</v>
      </c>
      <c r="D37" s="5" t="s">
        <v>13</v>
      </c>
      <c r="E37" s="5" t="s">
        <v>13</v>
      </c>
      <c r="F37" s="5" t="s">
        <v>13</v>
      </c>
      <c r="G37" s="5" t="s">
        <v>13</v>
      </c>
      <c r="H37" s="5" t="s">
        <v>13</v>
      </c>
      <c r="I37" s="5" t="s">
        <v>13</v>
      </c>
    </row>
    <row r="38" spans="1:14" ht="14.25" customHeight="1" x14ac:dyDescent="0.35">
      <c r="A38" s="4" t="s">
        <v>284</v>
      </c>
      <c r="B38" s="5">
        <v>-0.24</v>
      </c>
      <c r="C38" s="5">
        <v>1.66</v>
      </c>
      <c r="D38" s="5">
        <v>4.1399999999999997</v>
      </c>
      <c r="E38" s="5">
        <v>2.37</v>
      </c>
      <c r="F38" s="5">
        <v>6.25</v>
      </c>
      <c r="G38" s="5">
        <v>14.03</v>
      </c>
      <c r="H38" s="5">
        <v>13.22</v>
      </c>
      <c r="I38" s="5"/>
    </row>
    <row r="39" spans="1:14" ht="14.25" customHeight="1" x14ac:dyDescent="0.35">
      <c r="A39" s="4" t="s">
        <v>285</v>
      </c>
      <c r="B39" s="5">
        <v>-0.23</v>
      </c>
      <c r="C39" s="5">
        <v>1.85</v>
      </c>
      <c r="D39" s="5">
        <v>4.6399999999999997</v>
      </c>
      <c r="E39" s="5">
        <v>2.94</v>
      </c>
      <c r="F39" s="5">
        <v>7.14</v>
      </c>
      <c r="G39" s="5">
        <v>15</v>
      </c>
      <c r="H39" s="5">
        <v>14.25</v>
      </c>
      <c r="I39" s="5"/>
    </row>
  </sheetData>
  <mergeCells count="1">
    <mergeCell ref="M1:N1"/>
  </mergeCells>
  <conditionalFormatting sqref="F3:F35">
    <cfRule type="expression" dxfId="53" priority="2">
      <formula>AND(ISNUMBER(F3),F3&gt;MEDIAN($F$3:$F$35))</formula>
    </cfRule>
  </conditionalFormatting>
  <conditionalFormatting sqref="G3:G35">
    <cfRule type="expression" dxfId="52" priority="3">
      <formula>AND(ISNUMBER(G3),G3&gt;MEDIAN($G$3:$G$35))</formula>
    </cfRule>
  </conditionalFormatting>
  <conditionalFormatting sqref="H3:H35">
    <cfRule type="expression" dxfId="51" priority="4">
      <formula>AND(ISNUMBER(H3),H3&gt;MEDIAN($H$3:$H$35))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topLeftCell="A10" zoomScale="70" zoomScaleNormal="70" workbookViewId="0">
      <selection activeCell="I33" sqref="I33"/>
    </sheetView>
  </sheetViews>
  <sheetFormatPr defaultColWidth="8.54296875" defaultRowHeight="14.5" x14ac:dyDescent="0.35"/>
  <cols>
    <col min="1" max="1" width="40.7265625" customWidth="1"/>
    <col min="2" max="2" width="6.81640625" customWidth="1"/>
    <col min="3" max="3" width="7.453125" customWidth="1"/>
    <col min="4" max="5" width="8.36328125" customWidth="1"/>
    <col min="6" max="6" width="6.453125" customWidth="1"/>
    <col min="7" max="8" width="6.81640625" customWidth="1"/>
    <col min="9" max="9" width="14" customWidth="1"/>
    <col min="10" max="10" width="2.54296875" customWidth="1"/>
    <col min="11" max="11" width="12.90625" customWidth="1"/>
    <col min="12" max="12" width="2.6328125" customWidth="1"/>
    <col min="13" max="13" width="5.90625" customWidth="1"/>
    <col min="14" max="14" width="7.1796875" customWidth="1"/>
  </cols>
  <sheetData>
    <row r="1" spans="1:15" ht="14.25" customHeight="1" x14ac:dyDescent="0.35">
      <c r="A1" s="1" t="str">
        <f>'Small Cap'!A1</f>
        <v>( As on 14-08-26 )</v>
      </c>
      <c r="M1" s="34">
        <v>46082</v>
      </c>
      <c r="N1" s="34"/>
      <c r="O1" s="11"/>
    </row>
    <row r="2" spans="1:15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5" ht="14.25" customHeight="1" x14ac:dyDescent="0.35">
      <c r="A3" s="4" t="s">
        <v>286</v>
      </c>
      <c r="B3" s="5">
        <v>0.56999999999999995</v>
      </c>
      <c r="C3" s="5">
        <v>4.53</v>
      </c>
      <c r="D3" s="5">
        <v>10.75</v>
      </c>
      <c r="E3" s="5">
        <v>9.49</v>
      </c>
      <c r="F3" s="5">
        <v>12.98</v>
      </c>
      <c r="G3" s="5">
        <v>16.3</v>
      </c>
      <c r="H3" s="5">
        <v>14.41</v>
      </c>
      <c r="I3" s="5">
        <v>17.18</v>
      </c>
      <c r="K3" s="6">
        <v>7029.63</v>
      </c>
      <c r="M3" s="5">
        <v>0.76</v>
      </c>
      <c r="N3" s="5">
        <v>1.82</v>
      </c>
    </row>
    <row r="4" spans="1:15" ht="14.25" customHeight="1" x14ac:dyDescent="0.35">
      <c r="A4" s="4" t="s">
        <v>287</v>
      </c>
      <c r="B4" s="5">
        <v>0.63</v>
      </c>
      <c r="C4" s="5">
        <v>5.13</v>
      </c>
      <c r="D4" s="5">
        <v>11.59</v>
      </c>
      <c r="E4" s="5">
        <v>11</v>
      </c>
      <c r="F4" s="5">
        <v>13.41</v>
      </c>
      <c r="G4" s="5">
        <v>21.89</v>
      </c>
      <c r="H4" s="5" t="s">
        <v>13</v>
      </c>
      <c r="I4" s="5">
        <v>17.13</v>
      </c>
      <c r="K4" s="6">
        <v>10457.27</v>
      </c>
      <c r="M4" s="5">
        <v>0.56999999999999995</v>
      </c>
      <c r="N4" s="5">
        <v>1.76</v>
      </c>
    </row>
    <row r="5" spans="1:15" ht="14.25" customHeight="1" x14ac:dyDescent="0.35">
      <c r="A5" s="4" t="s">
        <v>288</v>
      </c>
      <c r="B5" s="5">
        <v>-0.68</v>
      </c>
      <c r="C5" s="5">
        <v>2.42</v>
      </c>
      <c r="D5" s="5">
        <v>7.24</v>
      </c>
      <c r="E5" s="5">
        <v>9.39</v>
      </c>
      <c r="F5" s="5">
        <v>14.17</v>
      </c>
      <c r="G5" s="5" t="s">
        <v>13</v>
      </c>
      <c r="H5" s="5" t="s">
        <v>13</v>
      </c>
      <c r="I5" s="5">
        <v>16.89</v>
      </c>
      <c r="K5" s="6">
        <v>1429.44</v>
      </c>
      <c r="M5" s="5">
        <v>0.81</v>
      </c>
      <c r="N5" s="5">
        <v>2.2000000000000002</v>
      </c>
    </row>
    <row r="6" spans="1:15" ht="14.25" customHeight="1" x14ac:dyDescent="0.35">
      <c r="A6" s="4" t="s">
        <v>289</v>
      </c>
      <c r="B6" s="5">
        <v>-0.22</v>
      </c>
      <c r="C6" s="5">
        <v>2.02</v>
      </c>
      <c r="D6" s="5">
        <v>5.51</v>
      </c>
      <c r="E6" s="5">
        <v>4.72</v>
      </c>
      <c r="F6" s="5">
        <v>7.46</v>
      </c>
      <c r="G6" s="5">
        <v>15.25</v>
      </c>
      <c r="H6" s="5" t="s">
        <v>13</v>
      </c>
      <c r="I6" s="5">
        <v>14.77</v>
      </c>
      <c r="K6" s="6">
        <v>3005.59</v>
      </c>
      <c r="M6" s="5">
        <v>0.6</v>
      </c>
      <c r="N6" s="5">
        <v>1.98</v>
      </c>
    </row>
    <row r="7" spans="1:15" ht="14.25" customHeight="1" x14ac:dyDescent="0.35">
      <c r="A7" s="4" t="s">
        <v>290</v>
      </c>
      <c r="B7" s="5">
        <v>0.57999999999999996</v>
      </c>
      <c r="C7" s="5">
        <v>1.51</v>
      </c>
      <c r="D7" s="5">
        <v>7.53</v>
      </c>
      <c r="E7" s="5">
        <v>10.56</v>
      </c>
      <c r="F7" s="5">
        <v>17.47</v>
      </c>
      <c r="G7" s="5">
        <v>20.350000000000001</v>
      </c>
      <c r="H7" s="5" t="s">
        <v>13</v>
      </c>
      <c r="I7" s="5">
        <v>23.7</v>
      </c>
      <c r="K7" s="6">
        <v>1186.47</v>
      </c>
      <c r="M7" s="5">
        <v>0.78</v>
      </c>
      <c r="N7" s="5">
        <v>2.1</v>
      </c>
    </row>
    <row r="8" spans="1:15" ht="14.25" customHeight="1" x14ac:dyDescent="0.35">
      <c r="A8" s="4" t="s">
        <v>291</v>
      </c>
      <c r="B8" s="5">
        <v>0.16</v>
      </c>
      <c r="C8" s="5">
        <v>2.42</v>
      </c>
      <c r="D8" s="5">
        <v>6.14</v>
      </c>
      <c r="E8" s="5">
        <v>7.06</v>
      </c>
      <c r="F8" s="5">
        <v>8.66</v>
      </c>
      <c r="G8" s="5">
        <v>16.739999999999998</v>
      </c>
      <c r="H8" s="5">
        <v>15.1</v>
      </c>
      <c r="I8" s="5">
        <v>15</v>
      </c>
      <c r="K8" s="6">
        <v>3339.44</v>
      </c>
      <c r="M8" s="5">
        <v>0.9</v>
      </c>
      <c r="N8" s="5">
        <v>1.96</v>
      </c>
    </row>
    <row r="9" spans="1:15" ht="14.25" customHeight="1" x14ac:dyDescent="0.35">
      <c r="A9" s="4" t="s">
        <v>292</v>
      </c>
      <c r="B9" s="5">
        <v>0.13</v>
      </c>
      <c r="C9" s="5">
        <v>3.12</v>
      </c>
      <c r="D9" s="5">
        <v>7.82</v>
      </c>
      <c r="E9" s="5">
        <v>4.9400000000000004</v>
      </c>
      <c r="F9" s="5">
        <v>7.09</v>
      </c>
      <c r="G9" s="5">
        <v>16.579999999999998</v>
      </c>
      <c r="H9" s="5" t="s">
        <v>13</v>
      </c>
      <c r="I9" s="5">
        <v>16.3</v>
      </c>
      <c r="K9" s="6">
        <v>5500.41</v>
      </c>
      <c r="M9" s="5">
        <v>0.55000000000000004</v>
      </c>
      <c r="N9" s="5">
        <v>1.85</v>
      </c>
    </row>
    <row r="10" spans="1:15" ht="14.25" customHeight="1" x14ac:dyDescent="0.35">
      <c r="A10" s="4" t="s">
        <v>293</v>
      </c>
      <c r="B10" s="5">
        <v>0.23</v>
      </c>
      <c r="C10" s="5">
        <v>0.13</v>
      </c>
      <c r="D10" s="5">
        <v>6.08</v>
      </c>
      <c r="E10" s="5">
        <v>6.75</v>
      </c>
      <c r="F10" s="5">
        <v>5.38</v>
      </c>
      <c r="G10" s="5" t="s">
        <v>13</v>
      </c>
      <c r="H10" s="5" t="s">
        <v>13</v>
      </c>
      <c r="I10" s="5">
        <v>10.48</v>
      </c>
      <c r="K10" s="6">
        <v>2925.15</v>
      </c>
      <c r="M10" s="5">
        <v>0.56000000000000005</v>
      </c>
      <c r="N10" s="5">
        <v>1.97</v>
      </c>
    </row>
    <row r="11" spans="1:15" ht="14.25" customHeight="1" x14ac:dyDescent="0.35">
      <c r="A11" s="4" t="s">
        <v>294</v>
      </c>
      <c r="B11" s="5">
        <v>0.04</v>
      </c>
      <c r="C11" s="5">
        <v>3.28</v>
      </c>
      <c r="D11" s="5">
        <v>7.08</v>
      </c>
      <c r="E11" s="5">
        <v>6.96</v>
      </c>
      <c r="F11" s="5">
        <v>11.2</v>
      </c>
      <c r="G11" s="5" t="s">
        <v>13</v>
      </c>
      <c r="H11" s="5" t="s">
        <v>13</v>
      </c>
      <c r="I11" s="5">
        <v>20.28</v>
      </c>
      <c r="K11" s="6">
        <v>3338.02</v>
      </c>
      <c r="M11" s="5">
        <v>0.47</v>
      </c>
      <c r="N11" s="5">
        <v>1.92</v>
      </c>
    </row>
    <row r="12" spans="1:15" ht="14.25" customHeight="1" x14ac:dyDescent="0.35">
      <c r="A12" s="4" t="s">
        <v>295</v>
      </c>
      <c r="B12" s="5">
        <v>0.12</v>
      </c>
      <c r="C12" s="5">
        <v>3.66</v>
      </c>
      <c r="D12" s="5">
        <v>9.4499999999999993</v>
      </c>
      <c r="E12" s="5">
        <v>6.43</v>
      </c>
      <c r="F12" s="5">
        <v>12.13</v>
      </c>
      <c r="G12" s="5" t="s">
        <v>13</v>
      </c>
      <c r="H12" s="5" t="s">
        <v>13</v>
      </c>
      <c r="I12" s="5">
        <v>6.55</v>
      </c>
      <c r="K12" s="6">
        <v>5029.4799999999996</v>
      </c>
      <c r="M12" s="5">
        <v>0.5</v>
      </c>
      <c r="N12" s="5">
        <v>1.86</v>
      </c>
    </row>
    <row r="13" spans="1:15" ht="14.25" customHeight="1" x14ac:dyDescent="0.35">
      <c r="A13" s="4" t="s">
        <v>296</v>
      </c>
      <c r="B13" s="5">
        <v>0.94</v>
      </c>
      <c r="C13" s="5">
        <v>4.42</v>
      </c>
      <c r="D13" s="5">
        <v>10.93</v>
      </c>
      <c r="E13" s="5">
        <v>15.9</v>
      </c>
      <c r="F13" s="5">
        <v>21.01</v>
      </c>
      <c r="G13" s="5" t="s">
        <v>13</v>
      </c>
      <c r="H13" s="5" t="s">
        <v>13</v>
      </c>
      <c r="I13" s="5">
        <v>14.27</v>
      </c>
      <c r="K13" s="6">
        <v>708.92</v>
      </c>
      <c r="M13" s="5">
        <v>0.51</v>
      </c>
      <c r="N13" s="5">
        <v>2.36</v>
      </c>
    </row>
    <row r="14" spans="1:15" ht="14.25" customHeight="1" x14ac:dyDescent="0.35">
      <c r="A14" s="4" t="s">
        <v>297</v>
      </c>
      <c r="B14" s="5">
        <v>-0.49</v>
      </c>
      <c r="C14" s="5">
        <v>1.91</v>
      </c>
      <c r="D14" s="5">
        <v>5.96</v>
      </c>
      <c r="E14" s="5">
        <v>2.27</v>
      </c>
      <c r="F14" s="5">
        <v>3.86</v>
      </c>
      <c r="G14" s="5">
        <v>14.37</v>
      </c>
      <c r="H14" s="5" t="s">
        <v>13</v>
      </c>
      <c r="I14" s="5">
        <v>16.149999999999999</v>
      </c>
      <c r="K14" s="6">
        <v>20216.88</v>
      </c>
      <c r="M14" s="5">
        <v>0.8</v>
      </c>
      <c r="N14" s="5">
        <v>1.69</v>
      </c>
    </row>
    <row r="15" spans="1:15" ht="14.25" customHeight="1" x14ac:dyDescent="0.35">
      <c r="A15" s="4" t="s">
        <v>298</v>
      </c>
      <c r="B15" s="5">
        <v>0.97</v>
      </c>
      <c r="C15" s="5">
        <v>4.05</v>
      </c>
      <c r="D15" s="5">
        <v>8.3000000000000007</v>
      </c>
      <c r="E15" s="5">
        <v>10.01</v>
      </c>
      <c r="F15" s="5">
        <v>13.24</v>
      </c>
      <c r="G15" s="5">
        <v>21.14</v>
      </c>
      <c r="H15" s="5" t="s">
        <v>13</v>
      </c>
      <c r="I15" s="5">
        <v>23.99</v>
      </c>
      <c r="K15" s="6">
        <v>5914</v>
      </c>
      <c r="M15" s="5">
        <v>0.63</v>
      </c>
      <c r="N15" s="5">
        <v>1.86</v>
      </c>
    </row>
    <row r="16" spans="1:15" ht="14.25" customHeight="1" x14ac:dyDescent="0.35">
      <c r="A16" s="4" t="s">
        <v>299</v>
      </c>
      <c r="B16" s="5">
        <v>-0.63</v>
      </c>
      <c r="C16" s="5">
        <v>3.03</v>
      </c>
      <c r="D16" s="5">
        <v>5.33</v>
      </c>
      <c r="E16" s="5">
        <v>8.4700000000000006</v>
      </c>
      <c r="F16" s="5">
        <v>12.19</v>
      </c>
      <c r="G16" s="5">
        <v>18.420000000000002</v>
      </c>
      <c r="H16" s="5">
        <v>16.41</v>
      </c>
      <c r="I16" s="5">
        <v>16.46</v>
      </c>
      <c r="K16" s="6">
        <v>18193.89</v>
      </c>
      <c r="M16" s="5">
        <v>0.96</v>
      </c>
      <c r="N16" s="5">
        <v>1.75</v>
      </c>
    </row>
    <row r="17" spans="1:14" ht="14.25" customHeight="1" x14ac:dyDescent="0.35">
      <c r="A17" s="4" t="s">
        <v>300</v>
      </c>
      <c r="B17" s="5">
        <v>0.16</v>
      </c>
      <c r="C17" s="5">
        <v>2.2799999999999998</v>
      </c>
      <c r="D17" s="5">
        <v>8.9499999999999993</v>
      </c>
      <c r="E17" s="5">
        <v>7.51</v>
      </c>
      <c r="F17" s="5">
        <v>4.29</v>
      </c>
      <c r="G17" s="5">
        <v>15.44</v>
      </c>
      <c r="H17" s="5">
        <v>13.21</v>
      </c>
      <c r="I17" s="5">
        <v>17.489999999999998</v>
      </c>
      <c r="K17" s="6">
        <v>4301.8599999999997</v>
      </c>
      <c r="M17" s="5">
        <v>0.69</v>
      </c>
      <c r="N17" s="5">
        <v>1.91</v>
      </c>
    </row>
    <row r="18" spans="1:14" ht="14.25" customHeight="1" x14ac:dyDescent="0.35">
      <c r="A18" s="4" t="s">
        <v>301</v>
      </c>
      <c r="B18" s="5">
        <v>1.1100000000000001</v>
      </c>
      <c r="C18" s="5">
        <v>3.7</v>
      </c>
      <c r="D18" s="5">
        <v>9.4499999999999993</v>
      </c>
      <c r="E18" s="5">
        <v>11.72</v>
      </c>
      <c r="F18" s="5">
        <v>15.81</v>
      </c>
      <c r="G18" s="5">
        <v>19.559999999999999</v>
      </c>
      <c r="H18" s="5">
        <v>15.58</v>
      </c>
      <c r="I18" s="5">
        <v>16.510000000000002</v>
      </c>
      <c r="K18" s="6">
        <v>1470.48</v>
      </c>
      <c r="M18" s="5">
        <v>0.33</v>
      </c>
      <c r="N18" s="5">
        <v>1.98</v>
      </c>
    </row>
    <row r="19" spans="1:14" ht="14.25" customHeight="1" x14ac:dyDescent="0.35">
      <c r="A19" s="4" t="s">
        <v>302</v>
      </c>
      <c r="B19" s="5">
        <v>-0.59</v>
      </c>
      <c r="C19" s="5">
        <v>1.5</v>
      </c>
      <c r="D19" s="5">
        <v>5.0999999999999996</v>
      </c>
      <c r="E19" s="5">
        <v>3.68</v>
      </c>
      <c r="F19" s="5">
        <v>11.19</v>
      </c>
      <c r="G19" s="5">
        <v>19.579999999999998</v>
      </c>
      <c r="H19" s="5" t="s">
        <v>13</v>
      </c>
      <c r="I19" s="5">
        <v>17.36</v>
      </c>
      <c r="K19" s="6">
        <v>28074.19</v>
      </c>
      <c r="M19" s="5">
        <v>0.45</v>
      </c>
      <c r="N19" s="5">
        <v>1.6</v>
      </c>
    </row>
    <row r="20" spans="1:14" ht="14.25" customHeight="1" x14ac:dyDescent="0.35">
      <c r="A20" s="4" t="s">
        <v>303</v>
      </c>
      <c r="B20" s="5">
        <v>0.37</v>
      </c>
      <c r="C20" s="5">
        <v>2.59</v>
      </c>
      <c r="D20" s="5">
        <v>9.92</v>
      </c>
      <c r="E20" s="5">
        <v>9.6199999999999992</v>
      </c>
      <c r="F20" s="5">
        <v>13.99</v>
      </c>
      <c r="G20" s="5">
        <v>20.27</v>
      </c>
      <c r="H20" s="5" t="s">
        <v>13</v>
      </c>
      <c r="I20" s="5">
        <v>19.79</v>
      </c>
      <c r="K20" s="6">
        <v>2042.49</v>
      </c>
      <c r="M20" s="5">
        <v>0.85</v>
      </c>
      <c r="N20" s="5">
        <v>2.09</v>
      </c>
    </row>
    <row r="21" spans="1:14" ht="14.25" customHeight="1" x14ac:dyDescent="0.35">
      <c r="A21" s="4" t="s">
        <v>304</v>
      </c>
      <c r="B21" s="5">
        <v>0.94</v>
      </c>
      <c r="C21" s="5">
        <v>3.97</v>
      </c>
      <c r="D21" s="5">
        <v>8.7799999999999994</v>
      </c>
      <c r="E21" s="5">
        <v>11.14</v>
      </c>
      <c r="F21" s="5">
        <v>15.86</v>
      </c>
      <c r="G21" s="5">
        <v>19.47</v>
      </c>
      <c r="H21" s="5">
        <v>17.5</v>
      </c>
      <c r="I21" s="5">
        <v>18.059999999999999</v>
      </c>
      <c r="K21" s="6">
        <v>6926.02</v>
      </c>
      <c r="M21" s="5">
        <v>0.48</v>
      </c>
      <c r="N21" s="5">
        <v>1.8</v>
      </c>
    </row>
    <row r="22" spans="1:14" ht="14.25" customHeight="1" x14ac:dyDescent="0.35">
      <c r="A22" s="4" t="s">
        <v>305</v>
      </c>
      <c r="B22" s="5">
        <v>-0.24</v>
      </c>
      <c r="C22" s="5">
        <v>1.39</v>
      </c>
      <c r="D22" s="5">
        <v>6.9</v>
      </c>
      <c r="E22" s="5">
        <v>3.88</v>
      </c>
      <c r="F22" s="5">
        <v>7.59</v>
      </c>
      <c r="G22" s="5" t="s">
        <v>13</v>
      </c>
      <c r="H22" s="5" t="s">
        <v>13</v>
      </c>
      <c r="I22" s="5">
        <v>15.98</v>
      </c>
      <c r="K22" s="6">
        <v>5278.04</v>
      </c>
      <c r="M22" s="5">
        <v>0.4</v>
      </c>
      <c r="N22" s="5">
        <v>1.84</v>
      </c>
    </row>
    <row r="23" spans="1:14" ht="14.25" customHeight="1" x14ac:dyDescent="0.35">
      <c r="A23" s="4" t="s">
        <v>306</v>
      </c>
      <c r="B23" s="5">
        <v>1.78</v>
      </c>
      <c r="C23" s="5">
        <v>9.0399999999999991</v>
      </c>
      <c r="D23" s="5">
        <v>19.36</v>
      </c>
      <c r="E23" s="5">
        <v>20.92</v>
      </c>
      <c r="F23" s="5">
        <v>13.69</v>
      </c>
      <c r="G23" s="5" t="s">
        <v>13</v>
      </c>
      <c r="H23" s="5" t="s">
        <v>13</v>
      </c>
      <c r="I23" s="5">
        <v>21.73</v>
      </c>
      <c r="K23" s="6">
        <v>4225.5</v>
      </c>
      <c r="M23" s="5">
        <v>1</v>
      </c>
      <c r="N23" s="5">
        <v>1.95</v>
      </c>
    </row>
    <row r="24" spans="1:14" ht="14.25" customHeight="1" x14ac:dyDescent="0.35">
      <c r="A24" s="4" t="s">
        <v>307</v>
      </c>
      <c r="B24" s="5">
        <v>-0.3</v>
      </c>
      <c r="C24" s="5">
        <v>1.59</v>
      </c>
      <c r="D24" s="5">
        <v>4.45</v>
      </c>
      <c r="E24" s="5">
        <v>3.38</v>
      </c>
      <c r="F24" s="5">
        <v>3.95</v>
      </c>
      <c r="G24" s="5">
        <v>15.93</v>
      </c>
      <c r="H24" s="5">
        <v>19.34</v>
      </c>
      <c r="I24" s="5">
        <v>16.11</v>
      </c>
      <c r="K24" s="6">
        <v>54584.58</v>
      </c>
      <c r="M24" s="5">
        <v>0.73</v>
      </c>
      <c r="N24" s="5">
        <v>1.5</v>
      </c>
    </row>
    <row r="25" spans="1:14" ht="14.25" customHeight="1" x14ac:dyDescent="0.35">
      <c r="A25" s="4" t="s">
        <v>308</v>
      </c>
      <c r="B25" s="5">
        <v>-0.09</v>
      </c>
      <c r="C25" s="5">
        <v>3.75</v>
      </c>
      <c r="D25" s="5">
        <v>9.5</v>
      </c>
      <c r="E25" s="5">
        <v>10.32</v>
      </c>
      <c r="F25" s="5">
        <v>11.72</v>
      </c>
      <c r="G25" s="5" t="s">
        <v>13</v>
      </c>
      <c r="H25" s="5" t="s">
        <v>13</v>
      </c>
      <c r="I25" s="5">
        <v>5.37</v>
      </c>
      <c r="K25" s="6">
        <v>430.86</v>
      </c>
      <c r="M25" s="5">
        <v>0.71</v>
      </c>
      <c r="N25" s="5">
        <v>2.39</v>
      </c>
    </row>
    <row r="26" spans="1:14" ht="14.25" customHeight="1" x14ac:dyDescent="0.35">
      <c r="A26" s="4" t="s">
        <v>309</v>
      </c>
      <c r="B26" s="5">
        <v>-0.82</v>
      </c>
      <c r="C26" s="5">
        <v>-0.27</v>
      </c>
      <c r="D26" s="5">
        <v>4.97</v>
      </c>
      <c r="E26" s="5">
        <v>14.26</v>
      </c>
      <c r="F26" s="5">
        <v>11.28</v>
      </c>
      <c r="G26" s="5">
        <v>12.02</v>
      </c>
      <c r="H26" s="5">
        <v>13.01</v>
      </c>
      <c r="I26" s="5">
        <v>18.34</v>
      </c>
      <c r="K26" s="6">
        <v>7761.45</v>
      </c>
      <c r="M26" s="5">
        <v>0.74</v>
      </c>
      <c r="N26" s="5">
        <v>1.83</v>
      </c>
    </row>
    <row r="27" spans="1:14" ht="14.25" customHeight="1" x14ac:dyDescent="0.35">
      <c r="A27" s="4" t="s">
        <v>310</v>
      </c>
      <c r="B27" s="5">
        <v>0</v>
      </c>
      <c r="C27" s="5">
        <v>2.48</v>
      </c>
      <c r="D27" s="5">
        <v>5.7</v>
      </c>
      <c r="E27" s="5">
        <v>4.22</v>
      </c>
      <c r="F27" s="5">
        <v>-4.32</v>
      </c>
      <c r="G27" s="5" t="s">
        <v>13</v>
      </c>
      <c r="H27" s="5" t="s">
        <v>13</v>
      </c>
      <c r="I27" s="5">
        <v>-5.19</v>
      </c>
      <c r="K27" s="6">
        <v>243.98</v>
      </c>
      <c r="M27" s="5">
        <v>0.78</v>
      </c>
      <c r="N27" s="5">
        <v>2.4</v>
      </c>
    </row>
    <row r="28" spans="1:14" ht="14.25" customHeight="1" x14ac:dyDescent="0.35">
      <c r="A28" s="4" t="s">
        <v>311</v>
      </c>
      <c r="B28" s="5">
        <v>-0.11</v>
      </c>
      <c r="C28" s="5">
        <v>1.88</v>
      </c>
      <c r="D28" s="5">
        <v>5.57</v>
      </c>
      <c r="E28" s="5">
        <v>5.04</v>
      </c>
      <c r="F28" s="5">
        <v>3.58</v>
      </c>
      <c r="G28" s="5">
        <v>14.93</v>
      </c>
      <c r="H28" s="5" t="s">
        <v>13</v>
      </c>
      <c r="I28" s="5">
        <v>14.23</v>
      </c>
      <c r="K28" s="6">
        <v>23693.4</v>
      </c>
      <c r="M28" s="5">
        <v>0.86</v>
      </c>
      <c r="N28" s="5">
        <v>1.68</v>
      </c>
    </row>
    <row r="29" spans="1:14" ht="14.25" customHeight="1" x14ac:dyDescent="0.35">
      <c r="A29" s="4" t="s">
        <v>312</v>
      </c>
      <c r="B29" s="5">
        <v>0.22</v>
      </c>
      <c r="C29" s="5">
        <v>3.02</v>
      </c>
      <c r="D29" s="5">
        <v>9.06</v>
      </c>
      <c r="E29" s="5">
        <v>4.87</v>
      </c>
      <c r="F29" s="5">
        <v>6.75</v>
      </c>
      <c r="G29" s="5">
        <v>15.63</v>
      </c>
      <c r="H29" s="5">
        <v>14.04</v>
      </c>
      <c r="I29" s="5">
        <v>16.16</v>
      </c>
      <c r="K29" s="6">
        <v>2914.87</v>
      </c>
      <c r="M29" s="5">
        <v>0.91</v>
      </c>
      <c r="N29" s="5">
        <v>2</v>
      </c>
    </row>
    <row r="30" spans="1:14" ht="14.25" customHeight="1" x14ac:dyDescent="0.35">
      <c r="A30" s="4" t="s">
        <v>313</v>
      </c>
      <c r="B30" s="5">
        <v>-0.85</v>
      </c>
      <c r="C30" s="5">
        <v>1.21</v>
      </c>
      <c r="D30" s="5">
        <v>6.2</v>
      </c>
      <c r="E30" s="5">
        <v>7.38</v>
      </c>
      <c r="F30" s="5">
        <v>13.1</v>
      </c>
      <c r="G30" s="5">
        <v>12.61</v>
      </c>
      <c r="H30" s="5" t="s">
        <v>13</v>
      </c>
      <c r="I30" s="5">
        <v>15.22</v>
      </c>
      <c r="K30" s="6">
        <v>3455.43</v>
      </c>
      <c r="M30" s="5">
        <v>0.5</v>
      </c>
      <c r="N30" s="5">
        <v>1.92</v>
      </c>
    </row>
    <row r="31" spans="1:14" ht="14.25" customHeight="1" x14ac:dyDescent="0.35">
      <c r="A31" s="4" t="s">
        <v>314</v>
      </c>
      <c r="B31" s="5">
        <v>1.34</v>
      </c>
      <c r="C31" s="5">
        <v>5.13</v>
      </c>
      <c r="D31" s="5">
        <v>12.14</v>
      </c>
      <c r="E31" s="5">
        <v>14.94</v>
      </c>
      <c r="F31" s="5">
        <v>20.76</v>
      </c>
      <c r="G31" s="5" t="s">
        <v>13</v>
      </c>
      <c r="H31" s="5" t="s">
        <v>13</v>
      </c>
      <c r="I31" s="5">
        <v>19.59</v>
      </c>
      <c r="K31" s="6">
        <v>603.07000000000005</v>
      </c>
      <c r="M31" s="5">
        <v>0.5</v>
      </c>
      <c r="N31" s="5">
        <v>2.35</v>
      </c>
    </row>
    <row r="32" spans="1:14" ht="14.25" customHeight="1" x14ac:dyDescent="0.35">
      <c r="A32" s="4" t="s">
        <v>315</v>
      </c>
      <c r="B32" s="5">
        <v>1.03</v>
      </c>
      <c r="C32" s="5">
        <v>4.49</v>
      </c>
      <c r="D32" s="5">
        <v>10.119999999999999</v>
      </c>
      <c r="E32" s="5">
        <v>11.04</v>
      </c>
      <c r="F32" s="5">
        <v>15.3</v>
      </c>
      <c r="G32" s="5">
        <v>17.32</v>
      </c>
      <c r="H32" s="5" t="s">
        <v>13</v>
      </c>
      <c r="I32" s="5">
        <v>18.52</v>
      </c>
      <c r="K32" s="6">
        <v>1420.1</v>
      </c>
      <c r="M32" s="5">
        <v>1.06</v>
      </c>
      <c r="N32" s="5">
        <v>2.2200000000000002</v>
      </c>
    </row>
    <row r="33" spans="1:14" ht="14.25" customHeight="1" x14ac:dyDescent="0.35">
      <c r="A33" s="4" t="s">
        <v>316</v>
      </c>
      <c r="B33" s="5">
        <v>0.1</v>
      </c>
      <c r="C33" s="5">
        <v>2.81</v>
      </c>
      <c r="D33" s="5">
        <v>7.56</v>
      </c>
      <c r="E33" s="5">
        <v>4.47</v>
      </c>
      <c r="F33" s="5">
        <v>7.99</v>
      </c>
      <c r="G33" s="5" t="s">
        <v>13</v>
      </c>
      <c r="H33" s="5" t="s">
        <v>13</v>
      </c>
      <c r="I33" s="5">
        <v>7.33</v>
      </c>
      <c r="K33" s="6">
        <v>2041.55</v>
      </c>
      <c r="M33" s="5">
        <v>0.66</v>
      </c>
      <c r="N33" s="5">
        <v>1.99</v>
      </c>
    </row>
    <row r="34" spans="1:14" ht="14.25" customHeight="1" x14ac:dyDescent="0.35">
      <c r="A34" s="4" t="s">
        <v>317</v>
      </c>
      <c r="B34" s="5">
        <v>0.41</v>
      </c>
      <c r="C34" s="5">
        <v>2.5299999999999998</v>
      </c>
      <c r="D34" s="5">
        <v>9.19</v>
      </c>
      <c r="E34" s="5">
        <v>10.01</v>
      </c>
      <c r="F34" s="5">
        <v>11.74</v>
      </c>
      <c r="G34" s="5" t="s">
        <v>13</v>
      </c>
      <c r="H34" s="5" t="s">
        <v>13</v>
      </c>
      <c r="I34" s="5">
        <v>20.43</v>
      </c>
      <c r="K34" s="6">
        <v>3850.09</v>
      </c>
      <c r="M34" s="5">
        <v>0.74</v>
      </c>
      <c r="N34" s="5">
        <v>1.96</v>
      </c>
    </row>
    <row r="35" spans="1:14" ht="14.25" customHeight="1" x14ac:dyDescent="0.35">
      <c r="A35" s="7" t="s">
        <v>49</v>
      </c>
      <c r="B35" s="8">
        <f t="shared" ref="B35:I35" si="0">MEDIAN(B3:B34)</f>
        <v>0.14500000000000002</v>
      </c>
      <c r="C35" s="8">
        <f t="shared" si="0"/>
        <v>2.7</v>
      </c>
      <c r="D35" s="8">
        <f t="shared" si="0"/>
        <v>7.6899999999999995</v>
      </c>
      <c r="E35" s="8">
        <f t="shared" si="0"/>
        <v>7.99</v>
      </c>
      <c r="F35" s="8">
        <f t="shared" si="0"/>
        <v>11.73</v>
      </c>
      <c r="G35" s="8">
        <f t="shared" si="0"/>
        <v>16.659999999999997</v>
      </c>
      <c r="H35" s="8">
        <f t="shared" si="0"/>
        <v>15.1</v>
      </c>
      <c r="I35" s="8">
        <f t="shared" si="0"/>
        <v>16.484999999999999</v>
      </c>
    </row>
    <row r="36" spans="1:14" ht="14.25" customHeight="1" x14ac:dyDescent="0.35">
      <c r="A36" s="2" t="s">
        <v>50</v>
      </c>
      <c r="B36" s="5" t="s">
        <v>13</v>
      </c>
      <c r="C36" s="5" t="s">
        <v>13</v>
      </c>
      <c r="D36" s="5" t="s">
        <v>13</v>
      </c>
      <c r="E36" s="5" t="s">
        <v>13</v>
      </c>
      <c r="F36" s="5" t="s">
        <v>13</v>
      </c>
      <c r="G36" s="5" t="s">
        <v>13</v>
      </c>
      <c r="H36" s="5" t="s">
        <v>13</v>
      </c>
      <c r="I36" s="5" t="s">
        <v>13</v>
      </c>
    </row>
    <row r="37" spans="1:14" ht="14.25" customHeight="1" x14ac:dyDescent="0.35">
      <c r="A37" s="4" t="s">
        <v>141</v>
      </c>
      <c r="B37" s="5">
        <v>-0.49</v>
      </c>
      <c r="C37" s="5">
        <v>1.7</v>
      </c>
      <c r="D37" s="5">
        <v>4.34</v>
      </c>
      <c r="E37" s="5">
        <v>1.2</v>
      </c>
      <c r="F37" s="5">
        <v>4.03</v>
      </c>
      <c r="G37" s="5">
        <v>11.92</v>
      </c>
      <c r="H37" s="5">
        <v>10.89</v>
      </c>
      <c r="I37" s="5"/>
    </row>
    <row r="38" spans="1:14" ht="14.25" customHeight="1" x14ac:dyDescent="0.35">
      <c r="A38" s="4" t="s">
        <v>129</v>
      </c>
      <c r="B38" s="5">
        <v>-0.48</v>
      </c>
      <c r="C38" s="5">
        <v>1.92</v>
      </c>
      <c r="D38" s="5">
        <v>4.93</v>
      </c>
      <c r="E38" s="5">
        <v>1.85</v>
      </c>
      <c r="F38" s="5">
        <v>4.99</v>
      </c>
      <c r="G38" s="5">
        <v>13</v>
      </c>
      <c r="H38" s="5">
        <v>12.02</v>
      </c>
      <c r="I38" s="5"/>
    </row>
  </sheetData>
  <mergeCells count="1">
    <mergeCell ref="M1:N1"/>
  </mergeCells>
  <conditionalFormatting sqref="F3:F34">
    <cfRule type="expression" dxfId="50" priority="2">
      <formula>AND(ISNUMBER(F3),F3&gt;MEDIAN($F$3:$F$34))</formula>
    </cfRule>
  </conditionalFormatting>
  <conditionalFormatting sqref="G3:G34">
    <cfRule type="expression" dxfId="49" priority="3">
      <formula>AND(ISNUMBER(G3),G3&gt;MEDIAN($G$3:$G$34))</formula>
    </cfRule>
  </conditionalFormatting>
  <conditionalFormatting sqref="H3:H34">
    <cfRule type="expression" dxfId="48" priority="4">
      <formula>AND(ISNUMBER(H3),H3&gt;MEDIAN($H$3:$H$34))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7"/>
  <sheetViews>
    <sheetView zoomScale="70" zoomScaleNormal="70" workbookViewId="0">
      <selection activeCell="I27" sqref="I27"/>
    </sheetView>
  </sheetViews>
  <sheetFormatPr defaultColWidth="8.54296875" defaultRowHeight="14.5" x14ac:dyDescent="0.35"/>
  <cols>
    <col min="1" max="1" width="37.63281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54296875" customWidth="1"/>
    <col min="11" max="11" width="12.90625" customWidth="1"/>
    <col min="12" max="12" width="2.36328125" customWidth="1"/>
    <col min="13" max="13" width="5.90625" customWidth="1"/>
    <col min="14" max="14" width="7.1796875" customWidth="1"/>
  </cols>
  <sheetData>
    <row r="1" spans="1:15" ht="14.25" customHeight="1" x14ac:dyDescent="0.35">
      <c r="A1" s="1" t="str">
        <f>'Small Cap'!A1</f>
        <v>( As on 14-08-26 )</v>
      </c>
      <c r="M1" s="34">
        <v>46082</v>
      </c>
      <c r="N1" s="34"/>
      <c r="O1" s="11"/>
    </row>
    <row r="2" spans="1:15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3" t="s">
        <v>9</v>
      </c>
      <c r="M2" s="3" t="s">
        <v>10</v>
      </c>
      <c r="N2" s="3" t="s">
        <v>11</v>
      </c>
    </row>
    <row r="3" spans="1:15" ht="14.25" customHeight="1" x14ac:dyDescent="0.35">
      <c r="A3" s="4" t="s">
        <v>318</v>
      </c>
      <c r="B3" s="5">
        <v>-7.0000000000000007E-2</v>
      </c>
      <c r="C3" s="5">
        <v>1.69</v>
      </c>
      <c r="D3" s="5">
        <v>6.7</v>
      </c>
      <c r="E3" s="5">
        <v>8.6300000000000008</v>
      </c>
      <c r="F3" s="5">
        <v>15.63</v>
      </c>
      <c r="G3" s="5">
        <v>17.34</v>
      </c>
      <c r="H3" s="5">
        <v>15.47</v>
      </c>
      <c r="I3" s="5">
        <v>17.010000000000002</v>
      </c>
      <c r="K3" s="4">
        <v>6603.13</v>
      </c>
      <c r="M3" s="5">
        <v>1.02</v>
      </c>
      <c r="N3" s="5">
        <v>1.87</v>
      </c>
    </row>
    <row r="4" spans="1:15" ht="14.25" customHeight="1" x14ac:dyDescent="0.35">
      <c r="A4" s="4" t="s">
        <v>319</v>
      </c>
      <c r="B4" s="5">
        <v>0.14000000000000001</v>
      </c>
      <c r="C4" s="5">
        <v>4.22</v>
      </c>
      <c r="D4" s="5">
        <v>8.65</v>
      </c>
      <c r="E4" s="5">
        <v>6.33</v>
      </c>
      <c r="F4" s="5">
        <v>13.24</v>
      </c>
      <c r="G4" s="5">
        <v>20.22</v>
      </c>
      <c r="H4" s="5" t="s">
        <v>13</v>
      </c>
      <c r="I4" s="5">
        <v>17.18</v>
      </c>
      <c r="K4" s="4">
        <v>1668.17</v>
      </c>
      <c r="M4" s="5">
        <v>0.65</v>
      </c>
      <c r="N4" s="5">
        <v>2.12</v>
      </c>
    </row>
    <row r="5" spans="1:15" ht="14.25" customHeight="1" x14ac:dyDescent="0.35">
      <c r="A5" s="4" t="s">
        <v>320</v>
      </c>
      <c r="B5" s="5">
        <v>-0.42</v>
      </c>
      <c r="C5" s="5">
        <v>1.9</v>
      </c>
      <c r="D5" s="5">
        <v>3.46</v>
      </c>
      <c r="E5" s="5">
        <v>0.23</v>
      </c>
      <c r="F5" s="5">
        <v>4.12</v>
      </c>
      <c r="G5" s="5">
        <v>12.34</v>
      </c>
      <c r="H5" s="5">
        <v>14.36</v>
      </c>
      <c r="I5" s="5">
        <v>16.28</v>
      </c>
      <c r="K5" s="4">
        <v>9985.0300000000007</v>
      </c>
      <c r="M5" s="5">
        <v>0.74</v>
      </c>
      <c r="N5" s="5">
        <v>1.77</v>
      </c>
    </row>
    <row r="6" spans="1:15" ht="14.25" customHeight="1" x14ac:dyDescent="0.35">
      <c r="A6" s="4" t="s">
        <v>321</v>
      </c>
      <c r="B6" s="5">
        <v>-0.32</v>
      </c>
      <c r="C6" s="5">
        <v>2.0299999999999998</v>
      </c>
      <c r="D6" s="5">
        <v>2.0099999999999998</v>
      </c>
      <c r="E6" s="5">
        <v>0.41</v>
      </c>
      <c r="F6" s="5">
        <v>4.3</v>
      </c>
      <c r="G6" s="5">
        <v>11.1</v>
      </c>
      <c r="H6" s="5" t="s">
        <v>13</v>
      </c>
      <c r="I6" s="5">
        <v>12.28</v>
      </c>
      <c r="K6" s="4">
        <v>1023.46</v>
      </c>
      <c r="M6" s="5">
        <v>1.17</v>
      </c>
      <c r="N6" s="5">
        <v>2.23</v>
      </c>
    </row>
    <row r="7" spans="1:15" ht="14.25" customHeight="1" x14ac:dyDescent="0.35">
      <c r="A7" s="4" t="s">
        <v>322</v>
      </c>
      <c r="B7" s="5">
        <v>0.15</v>
      </c>
      <c r="C7" s="5">
        <v>2.38</v>
      </c>
      <c r="D7" s="5">
        <v>4.55</v>
      </c>
      <c r="E7" s="5">
        <v>1.33</v>
      </c>
      <c r="F7" s="5">
        <v>3.29</v>
      </c>
      <c r="G7" s="5">
        <v>13.59</v>
      </c>
      <c r="H7" s="5" t="s">
        <v>13</v>
      </c>
      <c r="I7" s="5">
        <v>14.75</v>
      </c>
      <c r="K7" s="4">
        <v>1272.22</v>
      </c>
      <c r="M7" s="5">
        <v>0.74</v>
      </c>
      <c r="N7" s="5">
        <v>2.17</v>
      </c>
    </row>
    <row r="8" spans="1:15" ht="14.25" customHeight="1" x14ac:dyDescent="0.35">
      <c r="A8" s="4" t="s">
        <v>323</v>
      </c>
      <c r="B8" s="5">
        <v>-0.33</v>
      </c>
      <c r="C8" s="5">
        <v>1.02</v>
      </c>
      <c r="D8" s="5">
        <v>2.98</v>
      </c>
      <c r="E8" s="5">
        <v>3.94</v>
      </c>
      <c r="F8" s="5">
        <v>13.65</v>
      </c>
      <c r="G8" s="5">
        <v>17.87</v>
      </c>
      <c r="H8" s="5">
        <v>14.03</v>
      </c>
      <c r="I8" s="5">
        <v>17.579999999999998</v>
      </c>
      <c r="K8" s="4">
        <v>1975.27</v>
      </c>
      <c r="M8" s="5">
        <v>0.96</v>
      </c>
      <c r="N8" s="5">
        <v>1.82</v>
      </c>
    </row>
    <row r="9" spans="1:15" ht="14.25" customHeight="1" x14ac:dyDescent="0.35">
      <c r="A9" s="4" t="s">
        <v>324</v>
      </c>
      <c r="B9" s="5">
        <v>-0.49</v>
      </c>
      <c r="C9" s="5">
        <v>1.18</v>
      </c>
      <c r="D9" s="5">
        <v>6.28</v>
      </c>
      <c r="E9" s="5">
        <v>3.36</v>
      </c>
      <c r="F9" s="5">
        <v>4.76</v>
      </c>
      <c r="G9" s="5">
        <v>15.54</v>
      </c>
      <c r="H9" s="5">
        <v>12.87</v>
      </c>
      <c r="I9" s="5">
        <v>11.71</v>
      </c>
      <c r="K9" s="4">
        <v>70.77</v>
      </c>
      <c r="M9" s="5">
        <v>1.05</v>
      </c>
      <c r="N9" s="5">
        <v>2.4500000000000002</v>
      </c>
    </row>
    <row r="10" spans="1:15" ht="14.25" customHeight="1" x14ac:dyDescent="0.35">
      <c r="A10" s="4" t="s">
        <v>325</v>
      </c>
      <c r="B10" s="5">
        <v>-0.16</v>
      </c>
      <c r="C10" s="5">
        <v>3</v>
      </c>
      <c r="D10" s="5">
        <v>8.6300000000000008</v>
      </c>
      <c r="E10" s="5">
        <v>4.8099999999999996</v>
      </c>
      <c r="F10" s="5">
        <v>10.4</v>
      </c>
      <c r="G10" s="5">
        <v>18.149999999999999</v>
      </c>
      <c r="H10" s="5">
        <v>15.41</v>
      </c>
      <c r="I10" s="5">
        <v>16.12</v>
      </c>
      <c r="K10" s="4">
        <v>7583.27</v>
      </c>
      <c r="M10" s="5">
        <v>1.01</v>
      </c>
      <c r="N10" s="5">
        <v>1.86</v>
      </c>
    </row>
    <row r="11" spans="1:15" ht="14.25" customHeight="1" x14ac:dyDescent="0.35">
      <c r="A11" s="4" t="s">
        <v>326</v>
      </c>
      <c r="B11" s="5">
        <v>-0.12</v>
      </c>
      <c r="C11" s="5">
        <v>1.92</v>
      </c>
      <c r="D11" s="5">
        <v>4</v>
      </c>
      <c r="E11" s="5">
        <v>2.23</v>
      </c>
      <c r="F11" s="5">
        <v>7.28</v>
      </c>
      <c r="G11" s="5">
        <v>18.86</v>
      </c>
      <c r="H11" s="5">
        <v>17.399999999999999</v>
      </c>
      <c r="I11" s="5">
        <v>18.920000000000002</v>
      </c>
      <c r="K11" s="4">
        <v>14828.3</v>
      </c>
      <c r="M11" s="5">
        <v>0.7</v>
      </c>
      <c r="N11" s="5">
        <v>1.72</v>
      </c>
    </row>
    <row r="12" spans="1:15" ht="14.25" customHeight="1" x14ac:dyDescent="0.35">
      <c r="A12" s="4" t="s">
        <v>327</v>
      </c>
      <c r="B12" s="5">
        <v>-0.55000000000000004</v>
      </c>
      <c r="C12" s="5">
        <v>0.65</v>
      </c>
      <c r="D12" s="5">
        <v>2.1800000000000002</v>
      </c>
      <c r="E12" s="5">
        <v>-3.75</v>
      </c>
      <c r="F12" s="5">
        <v>0.56999999999999995</v>
      </c>
      <c r="G12" s="5">
        <v>14.24</v>
      </c>
      <c r="H12" s="5">
        <v>16.059999999999999</v>
      </c>
      <c r="I12" s="5">
        <v>17.37</v>
      </c>
      <c r="K12" s="4">
        <v>60198.25</v>
      </c>
      <c r="M12" s="5">
        <v>0.99</v>
      </c>
      <c r="N12" s="5">
        <v>1.51</v>
      </c>
    </row>
    <row r="13" spans="1:15" ht="14.25" customHeight="1" x14ac:dyDescent="0.35">
      <c r="A13" s="4" t="s">
        <v>328</v>
      </c>
      <c r="B13" s="5">
        <v>-0.24</v>
      </c>
      <c r="C13" s="5">
        <v>1.66</v>
      </c>
      <c r="D13" s="5">
        <v>3.61</v>
      </c>
      <c r="E13" s="5">
        <v>2.15</v>
      </c>
      <c r="F13" s="5">
        <v>9.3000000000000007</v>
      </c>
      <c r="G13" s="5">
        <v>15.27</v>
      </c>
      <c r="H13" s="5">
        <v>14.09</v>
      </c>
      <c r="I13" s="5">
        <v>13.3</v>
      </c>
      <c r="K13" s="4">
        <v>359.52</v>
      </c>
      <c r="M13" s="5">
        <v>0.56999999999999995</v>
      </c>
      <c r="N13" s="5">
        <v>2.37</v>
      </c>
    </row>
    <row r="14" spans="1:15" ht="14.25" customHeight="1" x14ac:dyDescent="0.35">
      <c r="A14" s="4" t="s">
        <v>329</v>
      </c>
      <c r="B14" s="5">
        <v>-0.02</v>
      </c>
      <c r="C14" s="5">
        <v>3.59</v>
      </c>
      <c r="D14" s="5">
        <v>6.71</v>
      </c>
      <c r="E14" s="5">
        <v>4.75</v>
      </c>
      <c r="F14" s="5">
        <v>4.01</v>
      </c>
      <c r="G14" s="5">
        <v>14.85</v>
      </c>
      <c r="H14" s="5">
        <v>16.05</v>
      </c>
      <c r="I14" s="5">
        <v>16.079999999999998</v>
      </c>
      <c r="K14" s="4">
        <v>823.4</v>
      </c>
      <c r="M14" s="5">
        <v>1.25</v>
      </c>
      <c r="N14" s="5">
        <v>2.4</v>
      </c>
    </row>
    <row r="15" spans="1:15" ht="14.25" customHeight="1" x14ac:dyDescent="0.35">
      <c r="A15" s="4" t="s">
        <v>330</v>
      </c>
      <c r="B15" s="5">
        <v>0.26</v>
      </c>
      <c r="C15" s="5">
        <v>5.96</v>
      </c>
      <c r="D15" s="5">
        <v>13.8</v>
      </c>
      <c r="E15" s="5">
        <v>17.5</v>
      </c>
      <c r="F15" s="5">
        <v>27.38</v>
      </c>
      <c r="G15" s="5">
        <v>19.37</v>
      </c>
      <c r="H15" s="5">
        <v>15.32</v>
      </c>
      <c r="I15" s="5">
        <v>15.59</v>
      </c>
      <c r="K15" s="4">
        <v>234.78</v>
      </c>
      <c r="M15" s="5">
        <v>1.35</v>
      </c>
      <c r="N15" s="5">
        <v>2.48</v>
      </c>
    </row>
    <row r="16" spans="1:15" ht="14.25" customHeight="1" x14ac:dyDescent="0.35">
      <c r="A16" s="4" t="s">
        <v>331</v>
      </c>
      <c r="B16" s="5">
        <v>0.22</v>
      </c>
      <c r="C16" s="5">
        <v>1.7</v>
      </c>
      <c r="D16" s="5">
        <v>5.98</v>
      </c>
      <c r="E16" s="5">
        <v>6.88</v>
      </c>
      <c r="F16" s="5">
        <v>17.399999999999999</v>
      </c>
      <c r="G16" s="5" t="s">
        <v>13</v>
      </c>
      <c r="H16" s="5" t="s">
        <v>13</v>
      </c>
      <c r="I16" s="5">
        <v>20.27</v>
      </c>
      <c r="K16" s="4">
        <v>892.62</v>
      </c>
      <c r="M16" s="5">
        <v>0.64</v>
      </c>
      <c r="N16" s="5">
        <v>2.3199999999999998</v>
      </c>
    </row>
    <row r="17" spans="1:14" ht="14.25" customHeight="1" x14ac:dyDescent="0.35">
      <c r="A17" s="4" t="s">
        <v>332</v>
      </c>
      <c r="B17" s="5">
        <v>-0.84</v>
      </c>
      <c r="C17" s="5">
        <v>0.61</v>
      </c>
      <c r="D17" s="5">
        <v>2.67</v>
      </c>
      <c r="E17" s="5">
        <v>-0.85</v>
      </c>
      <c r="F17" s="5">
        <v>3.82</v>
      </c>
      <c r="G17" s="5">
        <v>16.45</v>
      </c>
      <c r="H17" s="5">
        <v>15.28</v>
      </c>
      <c r="I17" s="5">
        <v>15.77</v>
      </c>
      <c r="K17" s="4">
        <v>8962.36</v>
      </c>
      <c r="M17" s="5">
        <v>1.07</v>
      </c>
      <c r="N17" s="5">
        <v>1.84</v>
      </c>
    </row>
    <row r="18" spans="1:14" ht="14.25" customHeight="1" x14ac:dyDescent="0.35">
      <c r="A18" s="4" t="s">
        <v>333</v>
      </c>
      <c r="B18" s="5">
        <v>-0.27</v>
      </c>
      <c r="C18" s="5">
        <v>-3.04</v>
      </c>
      <c r="D18" s="5">
        <v>2.0099999999999998</v>
      </c>
      <c r="E18" s="5">
        <v>17.559999999999999</v>
      </c>
      <c r="F18" s="5">
        <v>19.18</v>
      </c>
      <c r="G18" s="5">
        <v>22.31</v>
      </c>
      <c r="H18" s="5" t="s">
        <v>13</v>
      </c>
      <c r="I18" s="5">
        <v>20.62</v>
      </c>
      <c r="K18" s="4">
        <v>1952.19</v>
      </c>
      <c r="M18" s="5">
        <v>0.59</v>
      </c>
      <c r="N18" s="5">
        <v>2.1</v>
      </c>
    </row>
    <row r="19" spans="1:14" ht="14.25" customHeight="1" x14ac:dyDescent="0.35">
      <c r="A19" s="4" t="s">
        <v>334</v>
      </c>
      <c r="B19" s="5">
        <v>-0.55000000000000004</v>
      </c>
      <c r="C19" s="5">
        <v>1.02</v>
      </c>
      <c r="D19" s="5">
        <v>3.46</v>
      </c>
      <c r="E19" s="5">
        <v>-2.34</v>
      </c>
      <c r="F19" s="5">
        <v>-1.74</v>
      </c>
      <c r="G19" s="5">
        <v>11.94</v>
      </c>
      <c r="H19" s="5">
        <v>10.89</v>
      </c>
      <c r="I19" s="5">
        <v>13.26</v>
      </c>
      <c r="K19" s="4">
        <v>1107.77</v>
      </c>
      <c r="M19" s="5">
        <v>1.1000000000000001</v>
      </c>
      <c r="N19" s="5">
        <v>2.13</v>
      </c>
    </row>
    <row r="20" spans="1:14" ht="14.25" customHeight="1" x14ac:dyDescent="0.35">
      <c r="A20" s="4" t="s">
        <v>335</v>
      </c>
      <c r="B20" s="5">
        <v>-0.01</v>
      </c>
      <c r="C20" s="5">
        <v>1.97</v>
      </c>
      <c r="D20" s="5">
        <v>3.82</v>
      </c>
      <c r="E20" s="5">
        <v>0.25</v>
      </c>
      <c r="F20" s="5">
        <v>5.17</v>
      </c>
      <c r="G20" s="5">
        <v>14.7</v>
      </c>
      <c r="H20" s="5">
        <v>14.9</v>
      </c>
      <c r="I20" s="5">
        <v>16.43</v>
      </c>
      <c r="K20" s="4">
        <v>8341.7099999999991</v>
      </c>
      <c r="M20" s="5">
        <v>0.82</v>
      </c>
      <c r="N20" s="5">
        <v>1.8</v>
      </c>
    </row>
    <row r="21" spans="1:14" ht="14.25" customHeight="1" x14ac:dyDescent="0.35">
      <c r="A21" s="4" t="s">
        <v>336</v>
      </c>
      <c r="B21" s="5">
        <v>-1.08</v>
      </c>
      <c r="C21" s="5">
        <v>-0.74</v>
      </c>
      <c r="D21" s="5">
        <v>1.37</v>
      </c>
      <c r="E21" s="5">
        <v>-3.82</v>
      </c>
      <c r="F21" s="5">
        <v>0.78</v>
      </c>
      <c r="G21" s="5">
        <v>11.85</v>
      </c>
      <c r="H21" s="5">
        <v>14.82</v>
      </c>
      <c r="I21" s="5">
        <v>14.39</v>
      </c>
      <c r="K21" s="4">
        <v>2053.59</v>
      </c>
      <c r="M21" s="5">
        <v>0.95</v>
      </c>
      <c r="N21" s="5">
        <v>2.1</v>
      </c>
    </row>
    <row r="22" spans="1:14" ht="14.25" customHeight="1" x14ac:dyDescent="0.35">
      <c r="A22" s="4" t="s">
        <v>337</v>
      </c>
      <c r="B22" s="5">
        <v>-0.16</v>
      </c>
      <c r="C22" s="5">
        <v>1.49</v>
      </c>
      <c r="D22" s="5">
        <v>5.65</v>
      </c>
      <c r="E22" s="5">
        <v>1.71</v>
      </c>
      <c r="F22" s="5">
        <v>6.98</v>
      </c>
      <c r="G22" s="5">
        <v>14.63</v>
      </c>
      <c r="H22" s="5">
        <v>14.24</v>
      </c>
      <c r="I22" s="5">
        <v>16.04</v>
      </c>
      <c r="K22" s="4">
        <v>393.65</v>
      </c>
      <c r="M22" s="5">
        <v>1.23</v>
      </c>
      <c r="N22" s="5">
        <v>2.48</v>
      </c>
    </row>
    <row r="23" spans="1:14" ht="14.25" customHeight="1" x14ac:dyDescent="0.35">
      <c r="A23" s="4" t="s">
        <v>338</v>
      </c>
      <c r="B23" s="5">
        <v>-0.38</v>
      </c>
      <c r="C23" s="5">
        <v>0.95</v>
      </c>
      <c r="D23" s="5">
        <v>4.95</v>
      </c>
      <c r="E23" s="5">
        <v>-1.26</v>
      </c>
      <c r="F23" s="5">
        <v>2.04</v>
      </c>
      <c r="G23" s="5">
        <v>14.55</v>
      </c>
      <c r="H23" s="5">
        <v>12.57</v>
      </c>
      <c r="I23" s="5">
        <v>13.67</v>
      </c>
      <c r="K23" s="4">
        <v>9439.61</v>
      </c>
      <c r="M23" s="5">
        <v>1.22</v>
      </c>
      <c r="N23" s="5">
        <v>1.85</v>
      </c>
    </row>
    <row r="24" spans="1:14" ht="14.25" customHeight="1" x14ac:dyDescent="0.35">
      <c r="A24" s="7" t="s">
        <v>49</v>
      </c>
      <c r="B24" s="8">
        <f t="shared" ref="B24:I24" si="0">MEDIAN(B3:B23)</f>
        <v>-0.24</v>
      </c>
      <c r="C24" s="8">
        <f t="shared" si="0"/>
        <v>1.69</v>
      </c>
      <c r="D24" s="8">
        <f t="shared" si="0"/>
        <v>4</v>
      </c>
      <c r="E24" s="8">
        <f t="shared" si="0"/>
        <v>2.15</v>
      </c>
      <c r="F24" s="8">
        <f t="shared" si="0"/>
        <v>5.17</v>
      </c>
      <c r="G24" s="8">
        <f t="shared" si="0"/>
        <v>15.059999999999999</v>
      </c>
      <c r="H24" s="8">
        <f t="shared" si="0"/>
        <v>14.86</v>
      </c>
      <c r="I24" s="8">
        <f t="shared" si="0"/>
        <v>16.079999999999998</v>
      </c>
    </row>
    <row r="25" spans="1:14" ht="14.25" customHeight="1" x14ac:dyDescent="0.35">
      <c r="A25" s="2" t="s">
        <v>50</v>
      </c>
      <c r="B25" s="5" t="s">
        <v>13</v>
      </c>
      <c r="C25" s="5" t="s">
        <v>13</v>
      </c>
      <c r="D25" s="5" t="s">
        <v>13</v>
      </c>
      <c r="E25" s="5" t="s">
        <v>13</v>
      </c>
      <c r="F25" s="5" t="s">
        <v>13</v>
      </c>
      <c r="G25" s="5" t="s">
        <v>13</v>
      </c>
      <c r="H25" s="5" t="s">
        <v>13</v>
      </c>
      <c r="I25" s="5" t="s">
        <v>13</v>
      </c>
    </row>
    <row r="26" spans="1:14" ht="14.25" customHeight="1" x14ac:dyDescent="0.35">
      <c r="A26" s="4" t="s">
        <v>141</v>
      </c>
      <c r="B26" s="5">
        <v>-0.49</v>
      </c>
      <c r="C26" s="5">
        <v>1.7</v>
      </c>
      <c r="D26" s="5">
        <v>4.34</v>
      </c>
      <c r="E26" s="5">
        <v>1.2</v>
      </c>
      <c r="F26" s="5">
        <v>4.03</v>
      </c>
      <c r="G26" s="5">
        <v>11.92</v>
      </c>
      <c r="H26" s="5">
        <v>10.89</v>
      </c>
      <c r="I26" s="5"/>
    </row>
    <row r="27" spans="1:14" ht="14.25" customHeight="1" x14ac:dyDescent="0.35">
      <c r="A27" s="4" t="s">
        <v>129</v>
      </c>
      <c r="B27" s="5">
        <v>-0.48</v>
      </c>
      <c r="C27" s="5">
        <v>1.92</v>
      </c>
      <c r="D27" s="5">
        <v>4.93</v>
      </c>
      <c r="E27" s="5">
        <v>1.85</v>
      </c>
      <c r="F27" s="5">
        <v>4.99</v>
      </c>
      <c r="G27" s="5">
        <v>13</v>
      </c>
      <c r="H27" s="5">
        <v>12.02</v>
      </c>
      <c r="I27" s="5"/>
    </row>
  </sheetData>
  <mergeCells count="1">
    <mergeCell ref="M1:N1"/>
  </mergeCells>
  <conditionalFormatting sqref="F3:F23">
    <cfRule type="expression" dxfId="47" priority="2">
      <formula>AND(ISNUMBER(F3),F3&gt;MEDIAN($F$3:$F$23))</formula>
    </cfRule>
  </conditionalFormatting>
  <conditionalFormatting sqref="G3:G23">
    <cfRule type="expression" dxfId="46" priority="3">
      <formula>AND(ISNUMBER(G3),G3&gt;MEDIAN($G$3:$G$23))</formula>
    </cfRule>
  </conditionalFormatting>
  <conditionalFormatting sqref="H3:H23">
    <cfRule type="expression" dxfId="45" priority="4">
      <formula>AND(ISNUMBER(H3),H3&gt;MEDIAN($H$3:$H$23))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6" zoomScale="70" zoomScaleNormal="70" workbookViewId="0">
      <selection activeCell="I32" sqref="I32"/>
    </sheetView>
  </sheetViews>
  <sheetFormatPr defaultColWidth="8.54296875" defaultRowHeight="14.5" x14ac:dyDescent="0.35"/>
  <cols>
    <col min="1" max="1" width="41.542968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" customWidth="1"/>
    <col min="11" max="11" width="13.6328125" customWidth="1"/>
    <col min="12" max="12" width="2.179687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12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339</v>
      </c>
      <c r="B3" s="5">
        <v>0.09</v>
      </c>
      <c r="C3" s="5">
        <v>0.49</v>
      </c>
      <c r="D3" s="5">
        <v>1.74</v>
      </c>
      <c r="E3" s="5">
        <v>3.2</v>
      </c>
      <c r="F3" s="5">
        <v>6.6</v>
      </c>
      <c r="G3" s="5">
        <v>7.51</v>
      </c>
      <c r="H3" s="5">
        <v>6.72</v>
      </c>
      <c r="I3" s="5">
        <v>6.99</v>
      </c>
      <c r="K3" s="6">
        <v>26645.65</v>
      </c>
      <c r="M3" s="5">
        <v>0.31</v>
      </c>
      <c r="N3" s="5">
        <v>1.03</v>
      </c>
    </row>
    <row r="4" spans="1:14" ht="14.25" customHeight="1" x14ac:dyDescent="0.35">
      <c r="A4" s="4" t="s">
        <v>340</v>
      </c>
      <c r="B4" s="5">
        <v>0.08</v>
      </c>
      <c r="C4" s="5">
        <v>0.51</v>
      </c>
      <c r="D4" s="5">
        <v>1.71</v>
      </c>
      <c r="E4" s="5">
        <v>3.21</v>
      </c>
      <c r="F4" s="5">
        <v>6.57</v>
      </c>
      <c r="G4" s="5">
        <v>7.45</v>
      </c>
      <c r="H4" s="5">
        <v>6.75</v>
      </c>
      <c r="I4" s="5">
        <v>6.71</v>
      </c>
      <c r="K4" s="6">
        <v>10362.379999999999</v>
      </c>
      <c r="M4" s="5">
        <v>0.31</v>
      </c>
      <c r="N4" s="5">
        <v>1</v>
      </c>
    </row>
    <row r="5" spans="1:14" ht="14.25" customHeight="1" x14ac:dyDescent="0.35">
      <c r="A5" s="4" t="s">
        <v>341</v>
      </c>
      <c r="B5" s="5">
        <v>0.09</v>
      </c>
      <c r="C5" s="5">
        <v>0.44</v>
      </c>
      <c r="D5" s="5">
        <v>1.66</v>
      </c>
      <c r="E5" s="5">
        <v>3.18</v>
      </c>
      <c r="F5" s="5">
        <v>6.49</v>
      </c>
      <c r="G5" s="5" t="s">
        <v>13</v>
      </c>
      <c r="H5" s="5" t="s">
        <v>13</v>
      </c>
      <c r="I5" s="5">
        <v>7.06</v>
      </c>
      <c r="K5" s="6">
        <v>1208.6500000000001</v>
      </c>
      <c r="M5" s="5">
        <v>0.33</v>
      </c>
      <c r="N5" s="5">
        <v>1.03</v>
      </c>
    </row>
    <row r="6" spans="1:14" ht="14.25" customHeight="1" x14ac:dyDescent="0.35">
      <c r="A6" s="4" t="s">
        <v>342</v>
      </c>
      <c r="B6" s="5">
        <v>0.1</v>
      </c>
      <c r="C6" s="5">
        <v>0.5</v>
      </c>
      <c r="D6" s="5">
        <v>1.68</v>
      </c>
      <c r="E6" s="5">
        <v>3.1</v>
      </c>
      <c r="F6" s="5">
        <v>6.35</v>
      </c>
      <c r="G6" s="5">
        <v>7.4</v>
      </c>
      <c r="H6" s="5">
        <v>6.66</v>
      </c>
      <c r="I6" s="5">
        <v>6.93</v>
      </c>
      <c r="K6" s="6">
        <v>8189.71</v>
      </c>
      <c r="M6" s="5">
        <v>0.34</v>
      </c>
      <c r="N6" s="5">
        <v>1.07</v>
      </c>
    </row>
    <row r="7" spans="1:14" ht="14.25" customHeight="1" x14ac:dyDescent="0.35">
      <c r="A7" s="4" t="s">
        <v>343</v>
      </c>
      <c r="B7" s="5">
        <v>0.02</v>
      </c>
      <c r="C7" s="5">
        <v>0.45</v>
      </c>
      <c r="D7" s="5">
        <v>1.42</v>
      </c>
      <c r="E7" s="5">
        <v>2.86</v>
      </c>
      <c r="F7" s="5">
        <v>6</v>
      </c>
      <c r="G7" s="5">
        <v>6.85</v>
      </c>
      <c r="H7" s="5">
        <v>5.78</v>
      </c>
      <c r="I7" s="5">
        <v>5.41</v>
      </c>
      <c r="K7" s="6">
        <v>47.83</v>
      </c>
      <c r="M7" s="5">
        <v>0.37</v>
      </c>
      <c r="N7" s="5">
        <v>0.88</v>
      </c>
    </row>
    <row r="8" spans="1:14" ht="14.25" customHeight="1" x14ac:dyDescent="0.35">
      <c r="A8" s="4" t="s">
        <v>344</v>
      </c>
      <c r="B8" s="5">
        <v>0.12</v>
      </c>
      <c r="C8" s="5">
        <v>0.48</v>
      </c>
      <c r="D8" s="5">
        <v>1.62</v>
      </c>
      <c r="E8" s="5">
        <v>3.02</v>
      </c>
      <c r="F8" s="5">
        <v>6.32</v>
      </c>
      <c r="G8" s="5">
        <v>7.36</v>
      </c>
      <c r="H8" s="5">
        <v>6.56</v>
      </c>
      <c r="I8" s="5">
        <v>6.4</v>
      </c>
      <c r="K8" s="6">
        <v>1146.77</v>
      </c>
      <c r="M8" s="5">
        <v>0.31</v>
      </c>
      <c r="N8" s="5">
        <v>1.1100000000000001</v>
      </c>
    </row>
    <row r="9" spans="1:14" ht="14.25" customHeight="1" x14ac:dyDescent="0.35">
      <c r="A9" s="4" t="s">
        <v>345</v>
      </c>
      <c r="B9" s="5">
        <v>0.18</v>
      </c>
      <c r="C9" s="5">
        <v>0.49</v>
      </c>
      <c r="D9" s="5">
        <v>1.49</v>
      </c>
      <c r="E9" s="5" t="s">
        <v>13</v>
      </c>
      <c r="F9" s="5" t="s">
        <v>13</v>
      </c>
      <c r="G9" s="5" t="s">
        <v>13</v>
      </c>
      <c r="H9" s="5" t="s">
        <v>13</v>
      </c>
      <c r="I9" s="5">
        <v>2.57</v>
      </c>
      <c r="K9" s="6">
        <v>21.2</v>
      </c>
      <c r="M9" s="5">
        <v>0.18</v>
      </c>
      <c r="N9" s="5">
        <v>0.98</v>
      </c>
    </row>
    <row r="10" spans="1:14" ht="14.25" customHeight="1" x14ac:dyDescent="0.35">
      <c r="A10" s="4" t="s">
        <v>346</v>
      </c>
      <c r="B10" s="5">
        <v>7.0000000000000007E-2</v>
      </c>
      <c r="C10" s="5">
        <v>0.5</v>
      </c>
      <c r="D10" s="5">
        <v>1.67</v>
      </c>
      <c r="E10" s="5">
        <v>3.12</v>
      </c>
      <c r="F10" s="5">
        <v>6.41</v>
      </c>
      <c r="G10" s="5">
        <v>7.3</v>
      </c>
      <c r="H10" s="5">
        <v>6.56</v>
      </c>
      <c r="I10" s="5">
        <v>6.23</v>
      </c>
      <c r="K10" s="6">
        <v>6529.13</v>
      </c>
      <c r="M10" s="5">
        <v>0.33</v>
      </c>
      <c r="N10" s="5">
        <v>0.94</v>
      </c>
    </row>
    <row r="11" spans="1:14" ht="14.25" customHeight="1" x14ac:dyDescent="0.35">
      <c r="A11" s="4" t="s">
        <v>347</v>
      </c>
      <c r="B11" s="5">
        <v>7.0000000000000007E-2</v>
      </c>
      <c r="C11" s="5">
        <v>0.48</v>
      </c>
      <c r="D11" s="5">
        <v>1.73</v>
      </c>
      <c r="E11" s="5">
        <v>3.22</v>
      </c>
      <c r="F11" s="5">
        <v>6.54</v>
      </c>
      <c r="G11" s="5">
        <v>7.5</v>
      </c>
      <c r="H11" s="5">
        <v>6.82</v>
      </c>
      <c r="I11" s="5">
        <v>6.85</v>
      </c>
      <c r="K11" s="6">
        <v>15062.34</v>
      </c>
      <c r="M11" s="5">
        <v>0.37</v>
      </c>
      <c r="N11" s="5">
        <v>1.05</v>
      </c>
    </row>
    <row r="12" spans="1:14" ht="14.25" customHeight="1" x14ac:dyDescent="0.35">
      <c r="A12" s="4" t="s">
        <v>348</v>
      </c>
      <c r="B12" s="5">
        <v>0.09</v>
      </c>
      <c r="C12" s="5">
        <v>0.52</v>
      </c>
      <c r="D12" s="5">
        <v>1.75</v>
      </c>
      <c r="E12" s="5">
        <v>3.35</v>
      </c>
      <c r="F12" s="5">
        <v>6.86</v>
      </c>
      <c r="G12" s="5" t="s">
        <v>13</v>
      </c>
      <c r="H12" s="5" t="s">
        <v>13</v>
      </c>
      <c r="I12" s="5">
        <v>7.06</v>
      </c>
      <c r="K12" s="6">
        <v>1425.23</v>
      </c>
      <c r="M12" s="5">
        <v>0.27</v>
      </c>
      <c r="N12" s="5">
        <v>0.98</v>
      </c>
    </row>
    <row r="13" spans="1:14" ht="14.25" customHeight="1" x14ac:dyDescent="0.35">
      <c r="A13" s="4" t="s">
        <v>349</v>
      </c>
      <c r="B13" s="5">
        <v>0.11</v>
      </c>
      <c r="C13" s="5">
        <v>0.5</v>
      </c>
      <c r="D13" s="5">
        <v>1.71</v>
      </c>
      <c r="E13" s="5">
        <v>3.18</v>
      </c>
      <c r="F13" s="5">
        <v>6.49</v>
      </c>
      <c r="G13" s="5">
        <v>7.38</v>
      </c>
      <c r="H13" s="5">
        <v>6.59</v>
      </c>
      <c r="I13" s="5">
        <v>6.45</v>
      </c>
      <c r="K13" s="6">
        <v>23772.01</v>
      </c>
      <c r="M13" s="5">
        <v>0.42</v>
      </c>
      <c r="N13" s="5">
        <v>0.92</v>
      </c>
    </row>
    <row r="14" spans="1:14" ht="14.25" customHeight="1" x14ac:dyDescent="0.35">
      <c r="A14" s="4" t="s">
        <v>350</v>
      </c>
      <c r="B14" s="5">
        <v>0</v>
      </c>
      <c r="C14" s="5">
        <v>0.39</v>
      </c>
      <c r="D14" s="5">
        <v>1.49</v>
      </c>
      <c r="E14" s="5" t="s">
        <v>13</v>
      </c>
      <c r="F14" s="5" t="s">
        <v>13</v>
      </c>
      <c r="G14" s="5" t="s">
        <v>13</v>
      </c>
      <c r="H14" s="5" t="s">
        <v>13</v>
      </c>
      <c r="I14" s="5">
        <v>2.4</v>
      </c>
      <c r="K14" s="6">
        <v>146.1</v>
      </c>
      <c r="M14" s="5">
        <v>0.49</v>
      </c>
      <c r="N14" s="5">
        <v>1.04</v>
      </c>
    </row>
    <row r="15" spans="1:14" ht="14.25" customHeight="1" x14ac:dyDescent="0.35">
      <c r="A15" s="4" t="s">
        <v>351</v>
      </c>
      <c r="B15" s="5">
        <v>0.09</v>
      </c>
      <c r="C15" s="5">
        <v>0.53</v>
      </c>
      <c r="D15" s="5">
        <v>1.71</v>
      </c>
      <c r="E15" s="5">
        <v>3.18</v>
      </c>
      <c r="F15" s="5">
        <v>6.5</v>
      </c>
      <c r="G15" s="5">
        <v>7.31</v>
      </c>
      <c r="H15" s="5">
        <v>6.54</v>
      </c>
      <c r="I15" s="5">
        <v>6.64</v>
      </c>
      <c r="K15" s="6">
        <v>2944.22</v>
      </c>
      <c r="M15" s="5">
        <v>0.28999999999999998</v>
      </c>
      <c r="N15" s="5">
        <v>0.91</v>
      </c>
    </row>
    <row r="16" spans="1:14" ht="14.25" customHeight="1" x14ac:dyDescent="0.35">
      <c r="A16" s="4" t="s">
        <v>352</v>
      </c>
      <c r="B16" s="5">
        <v>0.09</v>
      </c>
      <c r="C16" s="5">
        <v>0.51</v>
      </c>
      <c r="D16" s="5">
        <v>1.72</v>
      </c>
      <c r="E16" s="5">
        <v>3.2</v>
      </c>
      <c r="F16" s="5">
        <v>6.48</v>
      </c>
      <c r="G16" s="5">
        <v>7.42</v>
      </c>
      <c r="H16" s="5">
        <v>6.66</v>
      </c>
      <c r="I16" s="5">
        <v>7.02</v>
      </c>
      <c r="K16" s="6">
        <v>33423.339999999997</v>
      </c>
      <c r="M16" s="5">
        <v>0.4</v>
      </c>
      <c r="N16" s="5">
        <v>0.88</v>
      </c>
    </row>
    <row r="17" spans="1:14" ht="14.25" customHeight="1" x14ac:dyDescent="0.35">
      <c r="A17" s="4" t="s">
        <v>353</v>
      </c>
      <c r="B17" s="5">
        <v>0.13</v>
      </c>
      <c r="C17" s="5">
        <v>0.5</v>
      </c>
      <c r="D17" s="5">
        <v>1.75</v>
      </c>
      <c r="E17" s="5">
        <v>3.25</v>
      </c>
      <c r="F17" s="5">
        <v>6.68</v>
      </c>
      <c r="G17" s="5">
        <v>7.54</v>
      </c>
      <c r="H17" s="5">
        <v>6.96</v>
      </c>
      <c r="I17" s="5">
        <v>6.96</v>
      </c>
      <c r="K17" s="6">
        <v>28526.49</v>
      </c>
      <c r="M17" s="5">
        <v>0.4</v>
      </c>
      <c r="N17" s="5">
        <v>1.06</v>
      </c>
    </row>
    <row r="18" spans="1:14" ht="14.25" customHeight="1" x14ac:dyDescent="0.35">
      <c r="A18" s="4" t="s">
        <v>354</v>
      </c>
      <c r="B18" s="5">
        <v>-0.04</v>
      </c>
      <c r="C18" s="5">
        <v>0.34</v>
      </c>
      <c r="D18" s="5">
        <v>1.34</v>
      </c>
      <c r="E18" s="5">
        <v>2.84</v>
      </c>
      <c r="F18" s="5">
        <v>6.32</v>
      </c>
      <c r="G18" s="5">
        <v>7.32</v>
      </c>
      <c r="H18" s="5">
        <v>6.08</v>
      </c>
      <c r="I18" s="5">
        <v>5.49</v>
      </c>
      <c r="K18" s="6">
        <v>71.61</v>
      </c>
      <c r="M18" s="5">
        <v>0.21</v>
      </c>
      <c r="N18" s="5">
        <v>0.93</v>
      </c>
    </row>
    <row r="19" spans="1:14" ht="14.25" customHeight="1" x14ac:dyDescent="0.35">
      <c r="A19" s="4" t="s">
        <v>355</v>
      </c>
      <c r="B19" s="5">
        <v>0.06</v>
      </c>
      <c r="C19" s="5">
        <v>0.46</v>
      </c>
      <c r="D19" s="5">
        <v>1.67</v>
      </c>
      <c r="E19" s="5">
        <v>3.33</v>
      </c>
      <c r="F19" s="5" t="s">
        <v>13</v>
      </c>
      <c r="G19" s="5" t="s">
        <v>13</v>
      </c>
      <c r="H19" s="5" t="s">
        <v>13</v>
      </c>
      <c r="I19" s="5">
        <v>4.57</v>
      </c>
      <c r="K19" s="6">
        <v>559.20000000000005</v>
      </c>
      <c r="M19" s="5">
        <v>0.22</v>
      </c>
      <c r="N19" s="5" t="s">
        <v>13</v>
      </c>
    </row>
    <row r="20" spans="1:14" ht="14.25" customHeight="1" x14ac:dyDescent="0.35">
      <c r="A20" s="4" t="s">
        <v>356</v>
      </c>
      <c r="B20" s="5">
        <v>0.04</v>
      </c>
      <c r="C20" s="5">
        <v>0.38</v>
      </c>
      <c r="D20" s="5">
        <v>1.52</v>
      </c>
      <c r="E20" s="5">
        <v>2.96</v>
      </c>
      <c r="F20" s="5">
        <v>6.22</v>
      </c>
      <c r="G20" s="5">
        <v>7.05</v>
      </c>
      <c r="H20" s="5">
        <v>6.29</v>
      </c>
      <c r="I20" s="5">
        <v>6.41</v>
      </c>
      <c r="K20" s="6">
        <v>382.55</v>
      </c>
      <c r="M20" s="5">
        <v>0.41</v>
      </c>
      <c r="N20" s="5">
        <v>1.08</v>
      </c>
    </row>
    <row r="21" spans="1:14" ht="14.25" customHeight="1" x14ac:dyDescent="0.35">
      <c r="A21" s="4" t="s">
        <v>357</v>
      </c>
      <c r="B21" s="5">
        <v>7.0000000000000007E-2</v>
      </c>
      <c r="C21" s="5">
        <v>0.5</v>
      </c>
      <c r="D21" s="5">
        <v>1.7</v>
      </c>
      <c r="E21" s="5">
        <v>3.25</v>
      </c>
      <c r="F21" s="5">
        <v>6.57</v>
      </c>
      <c r="G21" s="5">
        <v>7.55</v>
      </c>
      <c r="H21" s="5">
        <v>6.85</v>
      </c>
      <c r="I21" s="5">
        <v>7.08</v>
      </c>
      <c r="K21" s="6">
        <v>72409.42</v>
      </c>
      <c r="M21" s="5">
        <v>0.37</v>
      </c>
      <c r="N21" s="5">
        <v>0.97</v>
      </c>
    </row>
    <row r="22" spans="1:14" ht="14.25" customHeight="1" x14ac:dyDescent="0.35">
      <c r="A22" s="4" t="s">
        <v>358</v>
      </c>
      <c r="B22" s="5">
        <v>7.0000000000000007E-2</v>
      </c>
      <c r="C22" s="5">
        <v>0.43</v>
      </c>
      <c r="D22" s="5">
        <v>1.66</v>
      </c>
      <c r="E22" s="5">
        <v>3.21</v>
      </c>
      <c r="F22" s="5">
        <v>6.46</v>
      </c>
      <c r="G22" s="5">
        <v>7.16</v>
      </c>
      <c r="H22" s="5">
        <v>6.49</v>
      </c>
      <c r="I22" s="5">
        <v>5.97</v>
      </c>
      <c r="K22" s="6">
        <v>243.08</v>
      </c>
      <c r="M22" s="5">
        <v>0.28999999999999998</v>
      </c>
      <c r="N22" s="5">
        <v>0.99</v>
      </c>
    </row>
    <row r="23" spans="1:14" ht="14.25" customHeight="1" x14ac:dyDescent="0.35">
      <c r="A23" s="4" t="s">
        <v>359</v>
      </c>
      <c r="B23" s="5">
        <v>0.03</v>
      </c>
      <c r="C23" s="5">
        <v>0.35</v>
      </c>
      <c r="D23" s="5">
        <v>1.48</v>
      </c>
      <c r="E23" s="5">
        <v>2.86</v>
      </c>
      <c r="F23" s="5">
        <v>6.08</v>
      </c>
      <c r="G23" s="5">
        <v>6.46</v>
      </c>
      <c r="H23" s="5">
        <v>5.73</v>
      </c>
      <c r="I23" s="5">
        <v>5.43</v>
      </c>
      <c r="K23" s="6">
        <v>126.38</v>
      </c>
      <c r="M23" s="5">
        <v>0.36</v>
      </c>
      <c r="N23" s="5">
        <v>1.1200000000000001</v>
      </c>
    </row>
    <row r="24" spans="1:14" ht="14.25" customHeight="1" x14ac:dyDescent="0.35">
      <c r="A24" s="4" t="s">
        <v>360</v>
      </c>
      <c r="B24" s="5">
        <v>0.08</v>
      </c>
      <c r="C24" s="5">
        <v>0.44</v>
      </c>
      <c r="D24" s="5">
        <v>1.69</v>
      </c>
      <c r="E24" s="5">
        <v>3.13</v>
      </c>
      <c r="F24" s="5">
        <v>6.57</v>
      </c>
      <c r="G24" s="5">
        <v>7.45</v>
      </c>
      <c r="H24" s="5">
        <v>6.67</v>
      </c>
      <c r="I24" s="5">
        <v>6.23</v>
      </c>
      <c r="K24" s="6">
        <v>3737.48</v>
      </c>
      <c r="M24" s="5">
        <v>0.13</v>
      </c>
      <c r="N24" s="5">
        <v>0.93</v>
      </c>
    </row>
    <row r="25" spans="1:14" ht="14.25" customHeight="1" x14ac:dyDescent="0.35">
      <c r="A25" s="4" t="s">
        <v>361</v>
      </c>
      <c r="B25" s="5">
        <v>0.06</v>
      </c>
      <c r="C25" s="5">
        <v>0.48</v>
      </c>
      <c r="D25" s="5">
        <v>1.7</v>
      </c>
      <c r="E25" s="5">
        <v>3.29</v>
      </c>
      <c r="F25" s="5">
        <v>6.8</v>
      </c>
      <c r="G25" s="5" t="s">
        <v>13</v>
      </c>
      <c r="H25" s="5" t="s">
        <v>13</v>
      </c>
      <c r="I25" s="5">
        <v>7.25</v>
      </c>
      <c r="K25" s="6">
        <v>2847.65</v>
      </c>
      <c r="M25" s="5">
        <v>0.1</v>
      </c>
      <c r="N25" s="5">
        <v>1</v>
      </c>
    </row>
    <row r="26" spans="1:14" ht="14.25" customHeight="1" x14ac:dyDescent="0.35">
      <c r="A26" s="4" t="s">
        <v>362</v>
      </c>
      <c r="B26" s="5">
        <v>0.1</v>
      </c>
      <c r="C26" s="5">
        <v>0.49</v>
      </c>
      <c r="D26" s="5">
        <v>1.72</v>
      </c>
      <c r="E26" s="5">
        <v>3.22</v>
      </c>
      <c r="F26" s="5">
        <v>6.58</v>
      </c>
      <c r="G26" s="5">
        <v>7.4</v>
      </c>
      <c r="H26" s="5">
        <v>6.71</v>
      </c>
      <c r="I26" s="5">
        <v>7.07</v>
      </c>
      <c r="K26" s="6">
        <v>16638.21</v>
      </c>
      <c r="M26" s="5">
        <v>0.31</v>
      </c>
      <c r="N26" s="5">
        <v>1.01</v>
      </c>
    </row>
    <row r="27" spans="1:14" ht="14.25" customHeight="1" x14ac:dyDescent="0.35">
      <c r="A27" s="4" t="s">
        <v>363</v>
      </c>
      <c r="B27" s="5">
        <v>-0.02</v>
      </c>
      <c r="C27" s="5">
        <v>0.38</v>
      </c>
      <c r="D27" s="5">
        <v>1.52</v>
      </c>
      <c r="E27" s="5">
        <v>2.99</v>
      </c>
      <c r="F27" s="5">
        <v>6.14</v>
      </c>
      <c r="G27" s="5">
        <v>6.91</v>
      </c>
      <c r="H27" s="5" t="s">
        <v>13</v>
      </c>
      <c r="I27" s="5">
        <v>6.87</v>
      </c>
      <c r="K27" s="6">
        <v>272.83</v>
      </c>
      <c r="M27" s="5">
        <v>0.26</v>
      </c>
      <c r="N27" s="5">
        <v>1</v>
      </c>
    </row>
    <row r="28" spans="1:14" ht="14.25" customHeight="1" x14ac:dyDescent="0.35">
      <c r="A28" s="4" t="s">
        <v>364</v>
      </c>
      <c r="B28" s="5">
        <v>0.03</v>
      </c>
      <c r="C28" s="5">
        <v>0.4</v>
      </c>
      <c r="D28" s="5">
        <v>1.66</v>
      </c>
      <c r="E28" s="5">
        <v>3.07</v>
      </c>
      <c r="F28" s="5" t="s">
        <v>13</v>
      </c>
      <c r="G28" s="5" t="s">
        <v>13</v>
      </c>
      <c r="H28" s="5" t="s">
        <v>13</v>
      </c>
      <c r="I28" s="5">
        <v>4.82</v>
      </c>
      <c r="K28" s="6">
        <v>188.48</v>
      </c>
      <c r="M28" s="5">
        <v>0.14000000000000001</v>
      </c>
      <c r="N28" s="5">
        <v>0.99</v>
      </c>
    </row>
    <row r="29" spans="1:14" ht="14.25" customHeight="1" x14ac:dyDescent="0.35">
      <c r="A29" s="4" t="s">
        <v>365</v>
      </c>
      <c r="B29" s="5">
        <v>7.0000000000000007E-2</v>
      </c>
      <c r="C29" s="5">
        <v>0.46</v>
      </c>
      <c r="D29" s="5">
        <v>1.64</v>
      </c>
      <c r="E29" s="5">
        <v>3.13</v>
      </c>
      <c r="F29" s="5">
        <v>6.33</v>
      </c>
      <c r="G29" s="5" t="s">
        <v>13</v>
      </c>
      <c r="H29" s="5" t="s">
        <v>13</v>
      </c>
      <c r="I29" s="5">
        <v>7.04</v>
      </c>
      <c r="K29" s="6">
        <v>2631.73</v>
      </c>
      <c r="M29" s="5">
        <v>0.28999999999999998</v>
      </c>
      <c r="N29" s="5">
        <v>0.64</v>
      </c>
    </row>
    <row r="30" spans="1:14" ht="14.25" customHeight="1" x14ac:dyDescent="0.35">
      <c r="A30" s="4" t="s">
        <v>366</v>
      </c>
      <c r="B30" s="5">
        <v>0.08</v>
      </c>
      <c r="C30" s="5">
        <v>0.41</v>
      </c>
      <c r="D30" s="5">
        <v>1.62</v>
      </c>
      <c r="E30" s="5">
        <v>3.23</v>
      </c>
      <c r="F30" s="5">
        <v>6.3</v>
      </c>
      <c r="G30" s="5">
        <v>7.15</v>
      </c>
      <c r="H30" s="5">
        <v>6.37</v>
      </c>
      <c r="I30" s="5">
        <v>6.4</v>
      </c>
      <c r="K30" s="6">
        <v>94.3</v>
      </c>
      <c r="M30" s="5">
        <v>0.36</v>
      </c>
      <c r="N30" s="5">
        <v>1.04</v>
      </c>
    </row>
    <row r="31" spans="1:14" ht="14.25" customHeight="1" x14ac:dyDescent="0.35">
      <c r="A31" s="4" t="s">
        <v>367</v>
      </c>
      <c r="B31" s="5">
        <v>0.04</v>
      </c>
      <c r="C31" s="5">
        <v>0.52</v>
      </c>
      <c r="D31" s="5">
        <v>1.89</v>
      </c>
      <c r="E31" s="5">
        <v>3.68</v>
      </c>
      <c r="F31" s="5">
        <v>7.48</v>
      </c>
      <c r="G31" s="5" t="s">
        <v>13</v>
      </c>
      <c r="H31" s="5" t="s">
        <v>13</v>
      </c>
      <c r="I31" s="5">
        <v>7.43</v>
      </c>
      <c r="K31" s="6">
        <v>553.39</v>
      </c>
      <c r="M31" s="5">
        <v>0.22</v>
      </c>
      <c r="N31" s="5">
        <v>0.88</v>
      </c>
    </row>
    <row r="32" spans="1:14" ht="14.25" customHeight="1" x14ac:dyDescent="0.35">
      <c r="A32" s="4" t="s">
        <v>368</v>
      </c>
      <c r="B32" s="5">
        <v>0</v>
      </c>
      <c r="C32" s="5">
        <v>0.18</v>
      </c>
      <c r="D32" s="5">
        <v>1.1100000000000001</v>
      </c>
      <c r="E32" s="5">
        <v>2.33</v>
      </c>
      <c r="F32" s="5">
        <v>5</v>
      </c>
      <c r="G32" s="5" t="s">
        <v>13</v>
      </c>
      <c r="H32" s="5" t="s">
        <v>13</v>
      </c>
      <c r="I32" s="5">
        <v>5.22</v>
      </c>
      <c r="K32" s="6">
        <v>30.2</v>
      </c>
      <c r="M32" s="5">
        <v>0.38</v>
      </c>
      <c r="N32" s="5">
        <v>1.63</v>
      </c>
    </row>
    <row r="33" spans="1:14" ht="14.25" customHeight="1" x14ac:dyDescent="0.35">
      <c r="A33" s="4" t="s">
        <v>369</v>
      </c>
      <c r="B33" s="5">
        <v>0.08</v>
      </c>
      <c r="C33" s="5">
        <v>0.46</v>
      </c>
      <c r="D33" s="5">
        <v>1.62</v>
      </c>
      <c r="E33" s="5">
        <v>3.12</v>
      </c>
      <c r="F33" s="5">
        <v>6.39</v>
      </c>
      <c r="G33" s="5">
        <v>7.36</v>
      </c>
      <c r="H33" s="5">
        <v>6.77</v>
      </c>
      <c r="I33" s="5">
        <v>6.83</v>
      </c>
      <c r="K33" s="6">
        <v>45923.07</v>
      </c>
      <c r="M33" s="5">
        <v>0.4</v>
      </c>
      <c r="N33" s="5">
        <v>0.9</v>
      </c>
    </row>
    <row r="34" spans="1:14" ht="14.25" customHeight="1" x14ac:dyDescent="0.35">
      <c r="A34" s="4" t="s">
        <v>370</v>
      </c>
      <c r="B34" s="5">
        <v>0.12</v>
      </c>
      <c r="C34" s="5">
        <v>0.42</v>
      </c>
      <c r="D34" s="5">
        <v>1.69</v>
      </c>
      <c r="E34" s="5">
        <v>3.31</v>
      </c>
      <c r="F34" s="5">
        <v>6.66</v>
      </c>
      <c r="G34" s="5">
        <v>7.31</v>
      </c>
      <c r="H34" s="5">
        <v>6.28</v>
      </c>
      <c r="I34" s="5">
        <v>4.9000000000000004</v>
      </c>
      <c r="K34" s="6">
        <v>649.72</v>
      </c>
      <c r="M34" s="5">
        <v>0.3</v>
      </c>
      <c r="N34" s="5">
        <v>1.01</v>
      </c>
    </row>
    <row r="35" spans="1:14" ht="14.25" customHeight="1" x14ac:dyDescent="0.35">
      <c r="A35" s="4" t="s">
        <v>371</v>
      </c>
      <c r="B35" s="5">
        <v>0.08</v>
      </c>
      <c r="C35" s="5">
        <v>0.5</v>
      </c>
      <c r="D35" s="5">
        <v>1.69</v>
      </c>
      <c r="E35" s="5">
        <v>3.23</v>
      </c>
      <c r="F35" s="5">
        <v>6.62</v>
      </c>
      <c r="G35" s="5">
        <v>7.57</v>
      </c>
      <c r="H35" s="5">
        <v>6.78</v>
      </c>
      <c r="I35" s="5">
        <v>6.54</v>
      </c>
      <c r="K35" s="6">
        <v>24026</v>
      </c>
      <c r="M35" s="5">
        <v>0.31</v>
      </c>
      <c r="N35" s="5">
        <v>1.0900000000000001</v>
      </c>
    </row>
    <row r="36" spans="1:14" ht="14.25" customHeight="1" x14ac:dyDescent="0.35">
      <c r="A36" s="4" t="s">
        <v>372</v>
      </c>
      <c r="B36" s="5">
        <v>0.09</v>
      </c>
      <c r="C36" s="5">
        <v>0.4</v>
      </c>
      <c r="D36" s="5">
        <v>1.6</v>
      </c>
      <c r="E36" s="5">
        <v>3.08</v>
      </c>
      <c r="F36" s="5" t="s">
        <v>13</v>
      </c>
      <c r="G36" s="5" t="s">
        <v>13</v>
      </c>
      <c r="H36" s="5" t="s">
        <v>13</v>
      </c>
      <c r="I36" s="5">
        <v>5.37</v>
      </c>
      <c r="K36" s="6">
        <v>131.13999999999999</v>
      </c>
      <c r="M36" s="5">
        <v>0.24</v>
      </c>
      <c r="N36" s="5">
        <v>0.91</v>
      </c>
    </row>
    <row r="37" spans="1:14" ht="14.25" customHeight="1" x14ac:dyDescent="0.35">
      <c r="A37" s="4" t="s">
        <v>373</v>
      </c>
      <c r="B37" s="5">
        <v>0.02</v>
      </c>
      <c r="C37" s="5">
        <v>0.38</v>
      </c>
      <c r="D37" s="5">
        <v>1.55</v>
      </c>
      <c r="E37" s="5">
        <v>2.95</v>
      </c>
      <c r="F37" s="5" t="s">
        <v>13</v>
      </c>
      <c r="G37" s="5" t="s">
        <v>13</v>
      </c>
      <c r="H37" s="5" t="s">
        <v>13</v>
      </c>
      <c r="I37" s="5">
        <v>6.1</v>
      </c>
      <c r="K37" s="6">
        <v>123.25</v>
      </c>
      <c r="M37" s="5">
        <v>0.2</v>
      </c>
      <c r="N37" s="5">
        <v>1</v>
      </c>
    </row>
    <row r="38" spans="1:14" ht="14.25" customHeight="1" x14ac:dyDescent="0.35">
      <c r="A38" s="4" t="s">
        <v>374</v>
      </c>
      <c r="B38" s="5">
        <v>0.1</v>
      </c>
      <c r="C38" s="5">
        <v>0.53</v>
      </c>
      <c r="D38" s="5">
        <v>1.72</v>
      </c>
      <c r="E38" s="5">
        <v>3.22</v>
      </c>
      <c r="F38" s="5">
        <v>6.38</v>
      </c>
      <c r="G38" s="5">
        <v>7.28</v>
      </c>
      <c r="H38" s="5">
        <v>6.46</v>
      </c>
      <c r="I38" s="5">
        <v>6.1</v>
      </c>
      <c r="K38" s="6">
        <v>245.94</v>
      </c>
      <c r="M38" s="5">
        <v>0.37</v>
      </c>
      <c r="N38" s="5">
        <v>0.98</v>
      </c>
    </row>
    <row r="39" spans="1:14" ht="14.25" customHeight="1" x14ac:dyDescent="0.35">
      <c r="A39" s="4" t="s">
        <v>375</v>
      </c>
      <c r="B39" s="5">
        <v>0.09</v>
      </c>
      <c r="C39" s="5">
        <v>0.5</v>
      </c>
      <c r="D39" s="5">
        <v>1.69</v>
      </c>
      <c r="E39" s="5">
        <v>3.16</v>
      </c>
      <c r="F39" s="5">
        <v>6.5</v>
      </c>
      <c r="G39" s="5">
        <v>7.42</v>
      </c>
      <c r="H39" s="5">
        <v>6.63</v>
      </c>
      <c r="I39" s="5">
        <v>6.78</v>
      </c>
      <c r="K39" s="6">
        <v>11324.06</v>
      </c>
      <c r="M39" s="5">
        <v>0.25</v>
      </c>
      <c r="N39" s="5">
        <v>0.78</v>
      </c>
    </row>
    <row r="40" spans="1:14" ht="14.25" customHeight="1" x14ac:dyDescent="0.35">
      <c r="A40" s="4" t="s">
        <v>376</v>
      </c>
      <c r="B40" s="5">
        <v>0.12</v>
      </c>
      <c r="C40" s="5">
        <v>0.47</v>
      </c>
      <c r="D40" s="5">
        <v>1.81</v>
      </c>
      <c r="E40" s="5">
        <v>3.48</v>
      </c>
      <c r="F40" s="5">
        <v>6.98</v>
      </c>
      <c r="G40" s="5" t="s">
        <v>13</v>
      </c>
      <c r="H40" s="5" t="s">
        <v>13</v>
      </c>
      <c r="I40" s="5">
        <v>7.3</v>
      </c>
      <c r="K40" s="6">
        <v>1595.93</v>
      </c>
      <c r="M40" s="5">
        <v>0.38</v>
      </c>
      <c r="N40" s="5">
        <v>1.1000000000000001</v>
      </c>
    </row>
    <row r="41" spans="1:14" ht="14.25" customHeight="1" x14ac:dyDescent="0.35">
      <c r="A41" s="7" t="s">
        <v>49</v>
      </c>
      <c r="B41" s="8">
        <f t="shared" ref="B41:I41" si="0">MEDIAN(B3:B40)</f>
        <v>0.08</v>
      </c>
      <c r="C41" s="8">
        <f t="shared" si="0"/>
        <v>0.47499999999999998</v>
      </c>
      <c r="D41" s="8">
        <f t="shared" si="0"/>
        <v>1.6749999999999998</v>
      </c>
      <c r="E41" s="8">
        <f t="shared" si="0"/>
        <v>3.18</v>
      </c>
      <c r="F41" s="8">
        <f t="shared" si="0"/>
        <v>6.49</v>
      </c>
      <c r="G41" s="8">
        <f t="shared" si="0"/>
        <v>7.36</v>
      </c>
      <c r="H41" s="8">
        <f t="shared" si="0"/>
        <v>6.6099999999999994</v>
      </c>
      <c r="I41" s="8">
        <f t="shared" si="0"/>
        <v>6.4950000000000001</v>
      </c>
    </row>
    <row r="42" spans="1:14" ht="14.25" customHeight="1" x14ac:dyDescent="0.35">
      <c r="A42" s="2" t="s">
        <v>50</v>
      </c>
      <c r="B42" s="5" t="s">
        <v>13</v>
      </c>
      <c r="C42" s="5" t="s">
        <v>13</v>
      </c>
      <c r="D42" s="5" t="s">
        <v>13</v>
      </c>
      <c r="E42" s="5" t="s">
        <v>13</v>
      </c>
      <c r="F42" s="5" t="s">
        <v>13</v>
      </c>
      <c r="G42" s="5" t="s">
        <v>13</v>
      </c>
      <c r="H42" s="5" t="s">
        <v>13</v>
      </c>
      <c r="I42" s="5" t="s">
        <v>13</v>
      </c>
    </row>
    <row r="43" spans="1:14" ht="14.25" customHeight="1" x14ac:dyDescent="0.35">
      <c r="A43" s="4" t="s">
        <v>129</v>
      </c>
      <c r="B43" s="5">
        <v>-0.48</v>
      </c>
      <c r="C43" s="5">
        <v>1.92</v>
      </c>
      <c r="D43" s="5">
        <v>4.93</v>
      </c>
      <c r="E43" s="5">
        <v>1.85</v>
      </c>
      <c r="F43" s="5">
        <v>4.99</v>
      </c>
      <c r="G43" s="5">
        <v>13</v>
      </c>
      <c r="H43" s="5">
        <v>12.02</v>
      </c>
      <c r="I43" s="5"/>
    </row>
  </sheetData>
  <mergeCells count="1">
    <mergeCell ref="M1:N1"/>
  </mergeCells>
  <conditionalFormatting sqref="F3:F40">
    <cfRule type="expression" dxfId="44" priority="2">
      <formula>AND(ISNUMBER(F3),F3&gt;MEDIAN($F$3:$F$40))</formula>
    </cfRule>
  </conditionalFormatting>
  <conditionalFormatting sqref="G3:G40">
    <cfRule type="expression" dxfId="43" priority="3">
      <formula>AND(ISNUMBER(G3),G3&gt;MEDIAN($G$3:$G$40))</formula>
    </cfRule>
  </conditionalFormatting>
  <conditionalFormatting sqref="H3:H40">
    <cfRule type="expression" dxfId="42" priority="4">
      <formula>AND(ISNUMBER(H3),H3&gt;MEDIAN($H$3:$H$40))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1"/>
  <sheetViews>
    <sheetView topLeftCell="A10" zoomScale="70" zoomScaleNormal="70" workbookViewId="0">
      <selection activeCell="I27" sqref="I27"/>
    </sheetView>
  </sheetViews>
  <sheetFormatPr defaultColWidth="8.54296875" defaultRowHeight="14.5" x14ac:dyDescent="0.35"/>
  <cols>
    <col min="1" max="1" width="50.72656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36328125" customWidth="1"/>
    <col min="11" max="11" width="13.6328125" customWidth="1"/>
    <col min="12" max="12" width="2.90625" customWidth="1"/>
    <col min="13" max="13" width="5.90625" customWidth="1"/>
    <col min="14" max="14" width="7.1796875" customWidth="1"/>
  </cols>
  <sheetData>
    <row r="1" spans="1:17" ht="14.25" customHeight="1" x14ac:dyDescent="0.35">
      <c r="A1" s="1" t="str">
        <f>'Small Cap'!A1</f>
        <v>( As on 14-08-26 )</v>
      </c>
      <c r="M1" s="34">
        <v>46082</v>
      </c>
      <c r="N1" s="34"/>
      <c r="P1" s="11"/>
      <c r="Q1" s="11"/>
    </row>
    <row r="2" spans="1:17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12" t="s">
        <v>9</v>
      </c>
      <c r="M2" s="3" t="s">
        <v>10</v>
      </c>
      <c r="N2" s="3" t="s">
        <v>11</v>
      </c>
    </row>
    <row r="3" spans="1:17" ht="14.25" customHeight="1" x14ac:dyDescent="0.35">
      <c r="A3" s="4" t="s">
        <v>377</v>
      </c>
      <c r="B3" s="5">
        <v>-0.14000000000000001</v>
      </c>
      <c r="C3" s="5">
        <v>2.4700000000000002</v>
      </c>
      <c r="D3" s="5">
        <v>6.14</v>
      </c>
      <c r="E3" s="5">
        <v>4.88</v>
      </c>
      <c r="F3" s="5">
        <v>9.7899999999999991</v>
      </c>
      <c r="G3" s="5">
        <v>13.05</v>
      </c>
      <c r="H3" s="5">
        <v>11.09</v>
      </c>
      <c r="I3" s="5">
        <v>12.21</v>
      </c>
      <c r="K3" s="6">
        <v>9489.56</v>
      </c>
      <c r="M3" s="5">
        <v>0.66</v>
      </c>
      <c r="N3" s="5">
        <v>1.77</v>
      </c>
    </row>
    <row r="4" spans="1:17" ht="14.25" customHeight="1" x14ac:dyDescent="0.35">
      <c r="A4" s="4" t="s">
        <v>378</v>
      </c>
      <c r="B4" s="5">
        <v>-0.2</v>
      </c>
      <c r="C4" s="5">
        <v>1.57</v>
      </c>
      <c r="D4" s="5">
        <v>4.5199999999999996</v>
      </c>
      <c r="E4" s="5">
        <v>1.82</v>
      </c>
      <c r="F4" s="5">
        <v>5.92</v>
      </c>
      <c r="G4" s="5">
        <v>13.32</v>
      </c>
      <c r="H4" s="5">
        <v>10.73</v>
      </c>
      <c r="I4" s="5">
        <v>10.43</v>
      </c>
      <c r="K4" s="6">
        <v>3814.4</v>
      </c>
      <c r="M4" s="5">
        <v>0.61</v>
      </c>
      <c r="N4" s="5">
        <v>1.9</v>
      </c>
    </row>
    <row r="5" spans="1:17" ht="14.25" customHeight="1" x14ac:dyDescent="0.35">
      <c r="A5" s="4" t="s">
        <v>379</v>
      </c>
      <c r="B5" s="5">
        <v>-0.31</v>
      </c>
      <c r="C5" s="5">
        <v>2.56</v>
      </c>
      <c r="D5" s="5">
        <v>5.73</v>
      </c>
      <c r="E5" s="5">
        <v>2.97</v>
      </c>
      <c r="F5" s="5">
        <v>8.35</v>
      </c>
      <c r="G5" s="5" t="s">
        <v>13</v>
      </c>
      <c r="H5" s="5" t="s">
        <v>13</v>
      </c>
      <c r="I5" s="5">
        <v>8.27</v>
      </c>
      <c r="K5" s="6">
        <v>1238.8399999999999</v>
      </c>
      <c r="M5" s="5">
        <v>0.56000000000000005</v>
      </c>
      <c r="N5" s="5">
        <v>2.1</v>
      </c>
    </row>
    <row r="6" spans="1:17" ht="14.25" customHeight="1" x14ac:dyDescent="0.35">
      <c r="A6" s="4" t="s">
        <v>380</v>
      </c>
      <c r="B6" s="5">
        <v>-0.02</v>
      </c>
      <c r="C6" s="5">
        <v>1.4</v>
      </c>
      <c r="D6" s="5">
        <v>4.8</v>
      </c>
      <c r="E6" s="5">
        <v>4.03</v>
      </c>
      <c r="F6" s="5">
        <v>7.47</v>
      </c>
      <c r="G6" s="5">
        <v>11.23</v>
      </c>
      <c r="H6" s="5">
        <v>9.0299999999999994</v>
      </c>
      <c r="I6" s="5">
        <v>9.68</v>
      </c>
      <c r="K6" s="6">
        <v>2236.44</v>
      </c>
      <c r="M6" s="5">
        <v>0.79</v>
      </c>
      <c r="N6" s="5">
        <v>2.06</v>
      </c>
    </row>
    <row r="7" spans="1:17" ht="14.25" customHeight="1" x14ac:dyDescent="0.35">
      <c r="A7" s="4" t="s">
        <v>381</v>
      </c>
      <c r="B7" s="5">
        <v>-0.37</v>
      </c>
      <c r="C7" s="5">
        <v>1.85</v>
      </c>
      <c r="D7" s="5">
        <v>3.08</v>
      </c>
      <c r="E7" s="5">
        <v>3.32</v>
      </c>
      <c r="F7" s="5">
        <v>8.9499999999999993</v>
      </c>
      <c r="G7" s="5">
        <v>10.66</v>
      </c>
      <c r="H7" s="5">
        <v>11.34</v>
      </c>
      <c r="I7" s="5">
        <v>8.92</v>
      </c>
      <c r="K7" s="6">
        <v>169.8</v>
      </c>
      <c r="M7" s="5">
        <v>1.1499999999999999</v>
      </c>
      <c r="N7" s="5">
        <v>2.2999999999999998</v>
      </c>
    </row>
    <row r="8" spans="1:17" ht="14.25" customHeight="1" x14ac:dyDescent="0.35">
      <c r="A8" s="4" t="s">
        <v>382</v>
      </c>
      <c r="B8" s="5">
        <v>0.56000000000000005</v>
      </c>
      <c r="C8" s="5">
        <v>2.76</v>
      </c>
      <c r="D8" s="5">
        <v>4.63</v>
      </c>
      <c r="E8" s="5">
        <v>5.04</v>
      </c>
      <c r="F8" s="5">
        <v>10.23</v>
      </c>
      <c r="G8" s="5">
        <v>13.84</v>
      </c>
      <c r="H8" s="5">
        <v>12.43</v>
      </c>
      <c r="I8" s="5">
        <v>14.74</v>
      </c>
      <c r="K8" s="6">
        <v>5002.59</v>
      </c>
      <c r="M8" s="5">
        <v>0.76</v>
      </c>
      <c r="N8" s="5">
        <v>1.89</v>
      </c>
    </row>
    <row r="9" spans="1:17" ht="14.25" customHeight="1" x14ac:dyDescent="0.35">
      <c r="A9" s="4" t="s">
        <v>383</v>
      </c>
      <c r="B9" s="5">
        <v>-0.19</v>
      </c>
      <c r="C9" s="5">
        <v>2.2999999999999998</v>
      </c>
      <c r="D9" s="5">
        <v>5.01</v>
      </c>
      <c r="E9" s="5">
        <v>1.32</v>
      </c>
      <c r="F9" s="5">
        <v>3.48</v>
      </c>
      <c r="G9" s="5" t="s">
        <v>13</v>
      </c>
      <c r="H9" s="5" t="s">
        <v>13</v>
      </c>
      <c r="I9" s="5">
        <v>3.34</v>
      </c>
      <c r="K9" s="6">
        <v>1125.26</v>
      </c>
      <c r="M9" s="5">
        <v>0.93</v>
      </c>
      <c r="N9" s="5">
        <v>2.21</v>
      </c>
    </row>
    <row r="10" spans="1:17" ht="14.25" customHeight="1" x14ac:dyDescent="0.35">
      <c r="A10" s="4" t="s">
        <v>384</v>
      </c>
      <c r="B10" s="5">
        <v>0.11</v>
      </c>
      <c r="C10" s="5">
        <v>0.98</v>
      </c>
      <c r="D10" s="5">
        <v>3.74</v>
      </c>
      <c r="E10" s="5">
        <v>2.68</v>
      </c>
      <c r="F10" s="5">
        <v>6.74</v>
      </c>
      <c r="G10" s="5">
        <v>11.82</v>
      </c>
      <c r="H10" s="5">
        <v>9.4600000000000009</v>
      </c>
      <c r="I10" s="5">
        <v>10.17</v>
      </c>
      <c r="K10" s="6">
        <v>3749.13</v>
      </c>
      <c r="M10" s="5">
        <v>0.66</v>
      </c>
      <c r="N10" s="5">
        <v>1.89</v>
      </c>
    </row>
    <row r="11" spans="1:17" ht="14.25" customHeight="1" x14ac:dyDescent="0.35">
      <c r="A11" s="4" t="s">
        <v>385</v>
      </c>
      <c r="B11" s="5">
        <v>-0.23</v>
      </c>
      <c r="C11" s="5">
        <v>2.5499999999999998</v>
      </c>
      <c r="D11" s="5">
        <v>4.9000000000000004</v>
      </c>
      <c r="E11" s="5">
        <v>3.46</v>
      </c>
      <c r="F11" s="5">
        <v>8.2899999999999991</v>
      </c>
      <c r="G11" s="5">
        <v>11.88</v>
      </c>
      <c r="H11" s="5">
        <v>10.48</v>
      </c>
      <c r="I11" s="5">
        <v>12.32</v>
      </c>
      <c r="K11" s="6">
        <v>13031.23</v>
      </c>
      <c r="M11" s="5">
        <v>0.49</v>
      </c>
      <c r="N11" s="5">
        <v>1.64</v>
      </c>
    </row>
    <row r="12" spans="1:17" ht="14.25" customHeight="1" x14ac:dyDescent="0.35">
      <c r="A12" s="4" t="s">
        <v>386</v>
      </c>
      <c r="B12" s="5">
        <v>-0.23</v>
      </c>
      <c r="C12" s="5">
        <v>1.27</v>
      </c>
      <c r="D12" s="5">
        <v>4.01</v>
      </c>
      <c r="E12" s="5">
        <v>1.23</v>
      </c>
      <c r="F12" s="5">
        <v>3.65</v>
      </c>
      <c r="G12" s="5">
        <v>11.39</v>
      </c>
      <c r="H12" s="5" t="s">
        <v>13</v>
      </c>
      <c r="I12" s="5">
        <v>11.85</v>
      </c>
      <c r="K12" s="6">
        <v>2819</v>
      </c>
      <c r="M12" s="5">
        <v>0.53</v>
      </c>
      <c r="N12" s="5">
        <v>1.96</v>
      </c>
    </row>
    <row r="13" spans="1:17" ht="14.25" customHeight="1" x14ac:dyDescent="0.35">
      <c r="A13" s="4" t="s">
        <v>387</v>
      </c>
      <c r="B13" s="5">
        <v>-0.52</v>
      </c>
      <c r="C13" s="5">
        <v>1.47</v>
      </c>
      <c r="D13" s="5">
        <v>4.16</v>
      </c>
      <c r="E13" s="5">
        <v>0.26</v>
      </c>
      <c r="F13" s="5">
        <v>3.69</v>
      </c>
      <c r="G13" s="5">
        <v>13.67</v>
      </c>
      <c r="H13" s="5">
        <v>15.63</v>
      </c>
      <c r="I13" s="5">
        <v>14.15</v>
      </c>
      <c r="K13" s="6">
        <v>106456.16</v>
      </c>
      <c r="M13" s="5">
        <v>0.75</v>
      </c>
      <c r="N13" s="5">
        <v>1.36</v>
      </c>
    </row>
    <row r="14" spans="1:17" ht="14.25" customHeight="1" x14ac:dyDescent="0.35">
      <c r="A14" s="4" t="s">
        <v>388</v>
      </c>
      <c r="B14" s="5">
        <v>0.42</v>
      </c>
      <c r="C14" s="5">
        <v>0.75</v>
      </c>
      <c r="D14" s="5">
        <v>3.34</v>
      </c>
      <c r="E14" s="5">
        <v>1.08</v>
      </c>
      <c r="F14" s="5">
        <v>5.98</v>
      </c>
      <c r="G14" s="5" t="s">
        <v>13</v>
      </c>
      <c r="H14" s="5" t="s">
        <v>13</v>
      </c>
      <c r="I14" s="5">
        <v>8.18</v>
      </c>
      <c r="K14" s="6">
        <v>290.89999999999998</v>
      </c>
      <c r="M14" s="5">
        <v>0.93</v>
      </c>
      <c r="N14" s="5">
        <v>2.4300000000000002</v>
      </c>
    </row>
    <row r="15" spans="1:17" ht="14.25" customHeight="1" x14ac:dyDescent="0.35">
      <c r="A15" s="4" t="s">
        <v>389</v>
      </c>
      <c r="B15" s="5">
        <v>-0.27</v>
      </c>
      <c r="C15" s="5">
        <v>2.14</v>
      </c>
      <c r="D15" s="5">
        <v>4.6900000000000004</v>
      </c>
      <c r="E15" s="5">
        <v>2.8</v>
      </c>
      <c r="F15" s="5">
        <v>4.21</v>
      </c>
      <c r="G15" s="5">
        <v>10.63</v>
      </c>
      <c r="H15" s="5">
        <v>9.3800000000000008</v>
      </c>
      <c r="I15" s="5">
        <v>11.4</v>
      </c>
      <c r="K15" s="6">
        <v>1518.1</v>
      </c>
      <c r="M15" s="5">
        <v>0.81</v>
      </c>
      <c r="N15" s="5">
        <v>2.12</v>
      </c>
    </row>
    <row r="16" spans="1:17" ht="14.25" customHeight="1" x14ac:dyDescent="0.35">
      <c r="A16" s="4" t="s">
        <v>390</v>
      </c>
      <c r="B16" s="5">
        <v>-0.04</v>
      </c>
      <c r="C16" s="5">
        <v>3.3</v>
      </c>
      <c r="D16" s="5">
        <v>6.48</v>
      </c>
      <c r="E16" s="5">
        <v>3.65</v>
      </c>
      <c r="F16" s="5">
        <v>9.42</v>
      </c>
      <c r="G16" s="5">
        <v>12.95</v>
      </c>
      <c r="H16" s="5">
        <v>11.78</v>
      </c>
      <c r="I16" s="5">
        <v>12.86</v>
      </c>
      <c r="K16" s="6">
        <v>72486.28</v>
      </c>
      <c r="M16" s="5">
        <v>0.88</v>
      </c>
      <c r="N16" s="5">
        <v>1.45</v>
      </c>
    </row>
    <row r="17" spans="1:14" ht="14.25" customHeight="1" x14ac:dyDescent="0.35">
      <c r="A17" s="4" t="s">
        <v>391</v>
      </c>
      <c r="B17" s="5">
        <v>-0.44</v>
      </c>
      <c r="C17" s="5">
        <v>1.38</v>
      </c>
      <c r="D17" s="5">
        <v>4.08</v>
      </c>
      <c r="E17" s="5">
        <v>-0.09</v>
      </c>
      <c r="F17" s="5">
        <v>0.44</v>
      </c>
      <c r="G17" s="5">
        <v>10.37</v>
      </c>
      <c r="H17" s="5">
        <v>9.25</v>
      </c>
      <c r="I17" s="5">
        <v>11.92</v>
      </c>
      <c r="K17" s="6">
        <v>996.48</v>
      </c>
      <c r="M17" s="5">
        <v>0.75</v>
      </c>
      <c r="N17" s="5">
        <v>2.09</v>
      </c>
    </row>
    <row r="18" spans="1:14" ht="14.25" customHeight="1" x14ac:dyDescent="0.35">
      <c r="A18" s="4" t="s">
        <v>392</v>
      </c>
      <c r="B18" s="5">
        <v>0.02</v>
      </c>
      <c r="C18" s="5">
        <v>1.96</v>
      </c>
      <c r="D18" s="5">
        <v>4.28</v>
      </c>
      <c r="E18" s="5">
        <v>0.1</v>
      </c>
      <c r="F18" s="5">
        <v>3.22</v>
      </c>
      <c r="G18" s="5">
        <v>10.65</v>
      </c>
      <c r="H18" s="5">
        <v>9.4499999999999993</v>
      </c>
      <c r="I18" s="5">
        <v>7.81</v>
      </c>
      <c r="K18" s="6">
        <v>355.1</v>
      </c>
      <c r="M18" s="5">
        <v>0.65</v>
      </c>
      <c r="N18" s="5">
        <v>2.39</v>
      </c>
    </row>
    <row r="19" spans="1:14" ht="14.25" customHeight="1" x14ac:dyDescent="0.35">
      <c r="A19" s="4" t="s">
        <v>393</v>
      </c>
      <c r="B19" s="5">
        <v>0.06</v>
      </c>
      <c r="C19" s="5">
        <v>1.96</v>
      </c>
      <c r="D19" s="5">
        <v>5.41</v>
      </c>
      <c r="E19" s="5">
        <v>2.74</v>
      </c>
      <c r="F19" s="5">
        <v>6.22</v>
      </c>
      <c r="G19" s="5">
        <v>11.03</v>
      </c>
      <c r="H19" s="5">
        <v>10.08</v>
      </c>
      <c r="I19" s="5">
        <v>11.21</v>
      </c>
      <c r="K19" s="6">
        <v>17371.73</v>
      </c>
      <c r="M19" s="5">
        <v>0.56999999999999995</v>
      </c>
      <c r="N19" s="5">
        <v>1.67</v>
      </c>
    </row>
    <row r="20" spans="1:14" ht="14.25" customHeight="1" x14ac:dyDescent="0.35">
      <c r="A20" s="4" t="s">
        <v>394</v>
      </c>
      <c r="B20" s="5">
        <v>0.73</v>
      </c>
      <c r="C20" s="5">
        <v>3.72</v>
      </c>
      <c r="D20" s="5">
        <v>7.41</v>
      </c>
      <c r="E20" s="5">
        <v>4.3099999999999996</v>
      </c>
      <c r="F20" s="5">
        <v>5.41</v>
      </c>
      <c r="G20" s="5">
        <v>9.52</v>
      </c>
      <c r="H20" s="5" t="s">
        <v>13</v>
      </c>
      <c r="I20" s="5">
        <v>9.15</v>
      </c>
      <c r="K20" s="6">
        <v>684.91</v>
      </c>
      <c r="M20" s="5">
        <v>1.25</v>
      </c>
      <c r="N20" s="5">
        <v>2.42</v>
      </c>
    </row>
    <row r="21" spans="1:14" ht="14.25" customHeight="1" x14ac:dyDescent="0.35">
      <c r="A21" s="4" t="s">
        <v>395</v>
      </c>
      <c r="B21" s="5">
        <v>0.26</v>
      </c>
      <c r="C21" s="5">
        <v>1.67</v>
      </c>
      <c r="D21" s="5">
        <v>5.45</v>
      </c>
      <c r="E21" s="5">
        <v>4.0599999999999996</v>
      </c>
      <c r="F21" s="5">
        <v>7.63</v>
      </c>
      <c r="G21" s="5">
        <v>12.65</v>
      </c>
      <c r="H21" s="5" t="s">
        <v>13</v>
      </c>
      <c r="I21" s="5">
        <v>11.17</v>
      </c>
      <c r="K21" s="6">
        <v>903.94</v>
      </c>
      <c r="M21" s="5">
        <v>0.68</v>
      </c>
      <c r="N21" s="5">
        <v>2.2599999999999998</v>
      </c>
    </row>
    <row r="22" spans="1:14" ht="14.25" customHeight="1" x14ac:dyDescent="0.35">
      <c r="A22" s="4" t="s">
        <v>396</v>
      </c>
      <c r="B22" s="5">
        <v>-0.12</v>
      </c>
      <c r="C22" s="5">
        <v>1.58</v>
      </c>
      <c r="D22" s="5">
        <v>3.85</v>
      </c>
      <c r="E22" s="5">
        <v>2.44</v>
      </c>
      <c r="F22" s="5">
        <v>7.02</v>
      </c>
      <c r="G22" s="5">
        <v>11.41</v>
      </c>
      <c r="H22" s="5" t="s">
        <v>13</v>
      </c>
      <c r="I22" s="5">
        <v>11.81</v>
      </c>
      <c r="K22" s="6">
        <v>2128.89</v>
      </c>
      <c r="M22" s="5">
        <v>0.68</v>
      </c>
      <c r="N22" s="5">
        <v>2.0499999999999998</v>
      </c>
    </row>
    <row r="23" spans="1:14" ht="14.25" customHeight="1" x14ac:dyDescent="0.35">
      <c r="A23" s="4" t="s">
        <v>397</v>
      </c>
      <c r="B23" s="5">
        <v>0.79</v>
      </c>
      <c r="C23" s="5">
        <v>6.56</v>
      </c>
      <c r="D23" s="5">
        <v>9.3000000000000007</v>
      </c>
      <c r="E23" s="5">
        <v>8.31</v>
      </c>
      <c r="F23" s="5">
        <v>1.07</v>
      </c>
      <c r="G23" s="5">
        <v>4.26</v>
      </c>
      <c r="H23" s="5">
        <v>6.21</v>
      </c>
      <c r="I23" s="5">
        <v>8.34</v>
      </c>
      <c r="K23" s="6">
        <v>732.54</v>
      </c>
      <c r="M23" s="5">
        <v>1.1000000000000001</v>
      </c>
      <c r="N23" s="5">
        <v>2.37</v>
      </c>
    </row>
    <row r="24" spans="1:14" ht="14.25" customHeight="1" x14ac:dyDescent="0.35">
      <c r="A24" s="4" t="s">
        <v>398</v>
      </c>
      <c r="B24" s="5">
        <v>0.02</v>
      </c>
      <c r="C24" s="5">
        <v>1.72</v>
      </c>
      <c r="D24" s="5">
        <v>5.21</v>
      </c>
      <c r="E24" s="5">
        <v>3.09</v>
      </c>
      <c r="F24" s="5">
        <v>7.35</v>
      </c>
      <c r="G24" s="5">
        <v>12.27</v>
      </c>
      <c r="H24" s="5">
        <v>10.63</v>
      </c>
      <c r="I24" s="5">
        <v>12.17</v>
      </c>
      <c r="K24" s="6">
        <v>9796.34</v>
      </c>
      <c r="M24" s="5">
        <v>0.56000000000000005</v>
      </c>
      <c r="N24" s="5">
        <v>1.74</v>
      </c>
    </row>
    <row r="25" spans="1:14" ht="14.25" customHeight="1" x14ac:dyDescent="0.35">
      <c r="A25" s="4" t="s">
        <v>399</v>
      </c>
      <c r="B25" s="5">
        <v>-7.0000000000000007E-2</v>
      </c>
      <c r="C25" s="5">
        <v>2.15</v>
      </c>
      <c r="D25" s="5">
        <v>4.09</v>
      </c>
      <c r="E25" s="5">
        <v>3.34</v>
      </c>
      <c r="F25" s="5">
        <v>3.65</v>
      </c>
      <c r="G25" s="5">
        <v>10.15</v>
      </c>
      <c r="H25" s="5" t="s">
        <v>13</v>
      </c>
      <c r="I25" s="5">
        <v>8.4600000000000009</v>
      </c>
      <c r="K25" s="6">
        <v>3393.51</v>
      </c>
      <c r="M25" s="5">
        <v>0.62</v>
      </c>
      <c r="N25" s="5">
        <v>1.92</v>
      </c>
    </row>
    <row r="26" spans="1:14" ht="14.25" customHeight="1" x14ac:dyDescent="0.35">
      <c r="A26" s="4" t="s">
        <v>400</v>
      </c>
      <c r="B26" s="5">
        <v>0.03</v>
      </c>
      <c r="C26" s="5">
        <v>0.56999999999999995</v>
      </c>
      <c r="D26" s="5">
        <v>1.99</v>
      </c>
      <c r="E26" s="5">
        <v>2.46</v>
      </c>
      <c r="F26" s="5">
        <v>4.46</v>
      </c>
      <c r="G26" s="5" t="s">
        <v>13</v>
      </c>
      <c r="H26" s="5" t="s">
        <v>13</v>
      </c>
      <c r="I26" s="5">
        <v>7.3</v>
      </c>
      <c r="K26" s="6">
        <v>2655.99</v>
      </c>
      <c r="M26" s="5">
        <v>0.34</v>
      </c>
      <c r="N26" s="5">
        <v>0.64</v>
      </c>
    </row>
    <row r="27" spans="1:14" ht="14.25" customHeight="1" x14ac:dyDescent="0.35">
      <c r="A27" s="4" t="s">
        <v>401</v>
      </c>
      <c r="B27" s="5">
        <v>-0.41</v>
      </c>
      <c r="C27" s="5">
        <v>1.45</v>
      </c>
      <c r="D27" s="5">
        <v>4.28</v>
      </c>
      <c r="E27" s="5">
        <v>0.96</v>
      </c>
      <c r="F27" s="5">
        <v>1.82</v>
      </c>
      <c r="G27" s="5">
        <v>8.5299999999999994</v>
      </c>
      <c r="H27" s="5">
        <v>8.44</v>
      </c>
      <c r="I27" s="5">
        <v>9.84</v>
      </c>
      <c r="K27" s="6">
        <v>770.48</v>
      </c>
      <c r="M27" s="5">
        <v>0.6</v>
      </c>
      <c r="N27" s="5">
        <v>2.2799999999999998</v>
      </c>
    </row>
    <row r="28" spans="1:14" ht="14.25" customHeight="1" x14ac:dyDescent="0.35">
      <c r="A28" s="4" t="s">
        <v>402</v>
      </c>
      <c r="B28" s="5">
        <v>0.11</v>
      </c>
      <c r="C28" s="5">
        <v>-1.27</v>
      </c>
      <c r="D28" s="5">
        <v>0.7</v>
      </c>
      <c r="E28" s="5">
        <v>4.34</v>
      </c>
      <c r="F28" s="5">
        <v>2.42</v>
      </c>
      <c r="G28" s="5">
        <v>16.09</v>
      </c>
      <c r="H28" s="5" t="s">
        <v>13</v>
      </c>
      <c r="I28" s="5">
        <v>18</v>
      </c>
      <c r="K28" s="6">
        <v>905.22</v>
      </c>
      <c r="M28" s="5">
        <v>0.8</v>
      </c>
      <c r="N28" s="5">
        <v>2.29</v>
      </c>
    </row>
    <row r="29" spans="1:14" ht="14.25" customHeight="1" x14ac:dyDescent="0.35">
      <c r="A29" s="4" t="s">
        <v>403</v>
      </c>
      <c r="B29" s="5">
        <v>-0.28000000000000003</v>
      </c>
      <c r="C29" s="5">
        <v>-0.47</v>
      </c>
      <c r="D29" s="5">
        <v>0.95</v>
      </c>
      <c r="E29" s="5">
        <v>0</v>
      </c>
      <c r="F29" s="5">
        <v>-0.84</v>
      </c>
      <c r="G29" s="5" t="s">
        <v>13</v>
      </c>
      <c r="H29" s="5" t="s">
        <v>13</v>
      </c>
      <c r="I29" s="5">
        <v>2.42</v>
      </c>
      <c r="K29" s="6">
        <v>190.3</v>
      </c>
      <c r="M29" s="5">
        <v>0.87</v>
      </c>
      <c r="N29" s="5">
        <v>2.41</v>
      </c>
    </row>
    <row r="30" spans="1:14" ht="14.25" customHeight="1" x14ac:dyDescent="0.35">
      <c r="A30" s="4" t="s">
        <v>404</v>
      </c>
      <c r="B30" s="5">
        <v>-0.24</v>
      </c>
      <c r="C30" s="5">
        <v>0.73</v>
      </c>
      <c r="D30" s="5">
        <v>2.4</v>
      </c>
      <c r="E30" s="5">
        <v>0.57999999999999996</v>
      </c>
      <c r="F30" s="5">
        <v>6.08</v>
      </c>
      <c r="G30" s="5">
        <v>11.24</v>
      </c>
      <c r="H30" s="5" t="s">
        <v>13</v>
      </c>
      <c r="I30" s="5">
        <v>11.01</v>
      </c>
      <c r="K30" s="6">
        <v>41512.85</v>
      </c>
      <c r="M30" s="5">
        <v>0.7</v>
      </c>
      <c r="N30" s="5">
        <v>1.55</v>
      </c>
    </row>
    <row r="31" spans="1:14" ht="14.25" customHeight="1" x14ac:dyDescent="0.35">
      <c r="A31" s="4" t="s">
        <v>405</v>
      </c>
      <c r="B31" s="5">
        <v>-0.46</v>
      </c>
      <c r="C31" s="5">
        <v>1.73</v>
      </c>
      <c r="D31" s="5">
        <v>3.56</v>
      </c>
      <c r="E31" s="5">
        <v>0.03</v>
      </c>
      <c r="F31" s="5">
        <v>2.84</v>
      </c>
      <c r="G31" s="5">
        <v>8.2899999999999991</v>
      </c>
      <c r="H31" s="5">
        <v>7.81</v>
      </c>
      <c r="I31" s="5">
        <v>9.57</v>
      </c>
      <c r="K31" s="6">
        <v>42.88</v>
      </c>
      <c r="M31" s="5">
        <v>0.36</v>
      </c>
      <c r="N31" s="5">
        <v>2.34</v>
      </c>
    </row>
    <row r="32" spans="1:14" ht="14.25" customHeight="1" x14ac:dyDescent="0.35">
      <c r="A32" s="4" t="s">
        <v>406</v>
      </c>
      <c r="B32" s="5">
        <v>0.19</v>
      </c>
      <c r="C32" s="5">
        <v>2.35</v>
      </c>
      <c r="D32" s="5">
        <v>4.3</v>
      </c>
      <c r="E32" s="5">
        <v>1.1499999999999999</v>
      </c>
      <c r="F32" s="5">
        <v>4.13</v>
      </c>
      <c r="G32" s="5">
        <v>10.1</v>
      </c>
      <c r="H32" s="5">
        <v>9.4600000000000009</v>
      </c>
      <c r="I32" s="5">
        <v>10.07</v>
      </c>
      <c r="K32" s="6">
        <v>1663.71</v>
      </c>
      <c r="M32" s="5">
        <v>0.65</v>
      </c>
      <c r="N32" s="5">
        <v>2.08</v>
      </c>
    </row>
    <row r="33" spans="1:14" ht="14.25" customHeight="1" x14ac:dyDescent="0.35">
      <c r="A33" s="4" t="s">
        <v>407</v>
      </c>
      <c r="B33" s="5">
        <v>-0.2</v>
      </c>
      <c r="C33" s="5">
        <v>0.47</v>
      </c>
      <c r="D33" s="5">
        <v>3.89</v>
      </c>
      <c r="E33" s="5">
        <v>2.39</v>
      </c>
      <c r="F33" s="5">
        <v>6.19</v>
      </c>
      <c r="G33" s="5">
        <v>10.119999999999999</v>
      </c>
      <c r="H33" s="5">
        <v>10.119999999999999</v>
      </c>
      <c r="I33" s="5">
        <v>12.22</v>
      </c>
      <c r="K33" s="6">
        <v>8834.19</v>
      </c>
      <c r="M33" s="5">
        <v>0.5</v>
      </c>
      <c r="N33" s="5">
        <v>1.72</v>
      </c>
    </row>
    <row r="34" spans="1:14" ht="14.25" customHeight="1" x14ac:dyDescent="0.35">
      <c r="A34" s="4" t="s">
        <v>408</v>
      </c>
      <c r="B34" s="5">
        <v>0.1</v>
      </c>
      <c r="C34" s="5">
        <v>1.69</v>
      </c>
      <c r="D34" s="5">
        <v>2.68</v>
      </c>
      <c r="E34" s="5" t="s">
        <v>13</v>
      </c>
      <c r="F34" s="5" t="s">
        <v>13</v>
      </c>
      <c r="G34" s="5" t="s">
        <v>13</v>
      </c>
      <c r="H34" s="5" t="s">
        <v>13</v>
      </c>
      <c r="I34" s="5">
        <v>1.93</v>
      </c>
      <c r="K34" s="6">
        <v>47.96</v>
      </c>
      <c r="M34" s="5">
        <v>0.37</v>
      </c>
      <c r="N34" s="5">
        <v>2.33</v>
      </c>
    </row>
    <row r="35" spans="1:14" ht="14.25" customHeight="1" x14ac:dyDescent="0.35">
      <c r="A35" s="4" t="s">
        <v>409</v>
      </c>
      <c r="B35" s="5">
        <v>0.16</v>
      </c>
      <c r="C35" s="5">
        <v>0.85</v>
      </c>
      <c r="D35" s="5">
        <v>2.5299999999999998</v>
      </c>
      <c r="E35" s="5">
        <v>4.08</v>
      </c>
      <c r="F35" s="5">
        <v>8.2200000000000006</v>
      </c>
      <c r="G35" s="5" t="s">
        <v>13</v>
      </c>
      <c r="H35" s="5" t="s">
        <v>13</v>
      </c>
      <c r="I35" s="5">
        <v>8.39</v>
      </c>
      <c r="K35" s="6">
        <v>1290.08</v>
      </c>
      <c r="M35" s="5">
        <v>0.93</v>
      </c>
      <c r="N35" s="5">
        <v>1.52</v>
      </c>
    </row>
    <row r="36" spans="1:14" ht="14.25" customHeight="1" x14ac:dyDescent="0.35">
      <c r="A36" s="4" t="s">
        <v>410</v>
      </c>
      <c r="B36" s="5">
        <v>0.26</v>
      </c>
      <c r="C36" s="5">
        <v>2.02</v>
      </c>
      <c r="D36" s="5">
        <v>4.9400000000000004</v>
      </c>
      <c r="E36" s="5">
        <v>1.42</v>
      </c>
      <c r="F36" s="5">
        <v>4.8</v>
      </c>
      <c r="G36" s="5">
        <v>9.67</v>
      </c>
      <c r="H36" s="5">
        <v>8.59</v>
      </c>
      <c r="I36" s="5">
        <v>9.98</v>
      </c>
      <c r="K36" s="6">
        <v>1236.69</v>
      </c>
      <c r="M36" s="5">
        <v>1.1100000000000001</v>
      </c>
      <c r="N36" s="5">
        <v>2.23</v>
      </c>
    </row>
    <row r="37" spans="1:14" ht="14.25" customHeight="1" x14ac:dyDescent="0.35">
      <c r="A37" s="4" t="s">
        <v>411</v>
      </c>
      <c r="B37" s="5">
        <v>-0.14000000000000001</v>
      </c>
      <c r="C37" s="5">
        <v>1.74</v>
      </c>
      <c r="D37" s="5">
        <v>4.2699999999999996</v>
      </c>
      <c r="E37" s="5">
        <v>-0.28999999999999998</v>
      </c>
      <c r="F37" s="5">
        <v>2.99</v>
      </c>
      <c r="G37" s="5">
        <v>9.76</v>
      </c>
      <c r="H37" s="5" t="s">
        <v>13</v>
      </c>
      <c r="I37" s="5">
        <v>9.76</v>
      </c>
      <c r="K37" s="6">
        <v>3021.97</v>
      </c>
      <c r="M37" s="5">
        <v>0.6</v>
      </c>
      <c r="N37" s="5">
        <v>1.92</v>
      </c>
    </row>
    <row r="38" spans="1:14" ht="14.25" customHeight="1" x14ac:dyDescent="0.35">
      <c r="A38" s="4" t="s">
        <v>412</v>
      </c>
      <c r="B38" s="5">
        <v>0.08</v>
      </c>
      <c r="C38" s="5">
        <v>2.46</v>
      </c>
      <c r="D38" s="5">
        <v>6.17</v>
      </c>
      <c r="E38" s="5">
        <v>4.18</v>
      </c>
      <c r="F38" s="5">
        <v>6.51</v>
      </c>
      <c r="G38" s="5">
        <v>13.11</v>
      </c>
      <c r="H38" s="5" t="s">
        <v>13</v>
      </c>
      <c r="I38" s="5">
        <v>13.94</v>
      </c>
      <c r="K38" s="6">
        <v>2201.7199999999998</v>
      </c>
      <c r="M38" s="5">
        <v>0.75</v>
      </c>
      <c r="N38" s="5">
        <v>2.06</v>
      </c>
    </row>
    <row r="39" spans="1:14" ht="14.25" customHeight="1" x14ac:dyDescent="0.35">
      <c r="A39" s="7" t="s">
        <v>49</v>
      </c>
      <c r="B39" s="8">
        <f t="shared" ref="B39:I39" si="0">MEDIAN(B3:B38)</f>
        <v>-5.5000000000000007E-2</v>
      </c>
      <c r="C39" s="8">
        <f t="shared" si="0"/>
        <v>1.7250000000000001</v>
      </c>
      <c r="D39" s="8">
        <f t="shared" si="0"/>
        <v>4.28</v>
      </c>
      <c r="E39" s="8">
        <f t="shared" si="0"/>
        <v>2.68</v>
      </c>
      <c r="F39" s="8">
        <f t="shared" si="0"/>
        <v>5.92</v>
      </c>
      <c r="G39" s="8">
        <f t="shared" si="0"/>
        <v>11.23</v>
      </c>
      <c r="H39" s="8">
        <f t="shared" si="0"/>
        <v>9.77</v>
      </c>
      <c r="I39" s="8">
        <f t="shared" si="0"/>
        <v>10.120000000000001</v>
      </c>
    </row>
    <row r="40" spans="1:14" ht="14.25" customHeight="1" x14ac:dyDescent="0.35">
      <c r="A40" s="2" t="s">
        <v>50</v>
      </c>
      <c r="B40" s="5" t="s">
        <v>13</v>
      </c>
      <c r="C40" s="5" t="s">
        <v>13</v>
      </c>
      <c r="D40" s="5" t="s">
        <v>13</v>
      </c>
      <c r="E40" s="5" t="s">
        <v>13</v>
      </c>
      <c r="F40" s="5" t="s">
        <v>13</v>
      </c>
      <c r="G40" s="5" t="s">
        <v>13</v>
      </c>
      <c r="H40" s="5" t="s">
        <v>13</v>
      </c>
      <c r="I40" s="5" t="s">
        <v>13</v>
      </c>
    </row>
    <row r="41" spans="1:14" ht="14.25" customHeight="1" x14ac:dyDescent="0.35">
      <c r="A41" s="4" t="s">
        <v>129</v>
      </c>
      <c r="B41" s="5">
        <v>-0.48</v>
      </c>
      <c r="C41" s="5">
        <v>1.92</v>
      </c>
      <c r="D41" s="5">
        <v>4.93</v>
      </c>
      <c r="E41" s="5">
        <v>1.85</v>
      </c>
      <c r="F41" s="5">
        <v>4.99</v>
      </c>
      <c r="G41" s="5">
        <v>13</v>
      </c>
      <c r="H41" s="5">
        <v>12.02</v>
      </c>
      <c r="I41" s="5"/>
    </row>
  </sheetData>
  <mergeCells count="1">
    <mergeCell ref="M1:N1"/>
  </mergeCells>
  <conditionalFormatting sqref="F3:F38">
    <cfRule type="expression" dxfId="41" priority="2">
      <formula>AND(ISNUMBER(F3),F3&gt;MEDIAN($F$3:$F$38))</formula>
    </cfRule>
  </conditionalFormatting>
  <conditionalFormatting sqref="G3:G38">
    <cfRule type="expression" dxfId="40" priority="3">
      <formula>AND(ISNUMBER(G3),G3&gt;MEDIAN($G$3:$G$38))</formula>
    </cfRule>
  </conditionalFormatting>
  <conditionalFormatting sqref="H3:H38">
    <cfRule type="expression" dxfId="39" priority="4">
      <formula>AND(ISNUMBER(H3),H3&gt;MEDIAN($H$3:$H$38))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9"/>
  <sheetViews>
    <sheetView zoomScale="80" zoomScaleNormal="80" workbookViewId="0">
      <selection activeCell="I6" sqref="I6"/>
    </sheetView>
  </sheetViews>
  <sheetFormatPr defaultColWidth="8.54296875" defaultRowHeight="14.5" x14ac:dyDescent="0.35"/>
  <cols>
    <col min="1" max="1" width="44.542968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1.54296875" customWidth="1"/>
    <col min="11" max="11" width="13.6328125" customWidth="1"/>
    <col min="12" max="12" width="1.6328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12" t="s">
        <v>9</v>
      </c>
      <c r="M2" s="3" t="s">
        <v>10</v>
      </c>
      <c r="N2" s="3" t="s">
        <v>11</v>
      </c>
    </row>
    <row r="3" spans="1:14" ht="14.25" customHeight="1" x14ac:dyDescent="0.35">
      <c r="A3" s="4" t="s">
        <v>413</v>
      </c>
      <c r="B3" s="5">
        <v>-0.11</v>
      </c>
      <c r="C3" s="5">
        <v>1</v>
      </c>
      <c r="D3" s="5">
        <v>2.91</v>
      </c>
      <c r="E3" s="5">
        <v>2.9</v>
      </c>
      <c r="F3" s="5">
        <v>6.74</v>
      </c>
      <c r="G3" s="5">
        <v>8.66</v>
      </c>
      <c r="H3" s="5">
        <v>7.36</v>
      </c>
      <c r="I3" s="5">
        <v>8.5500000000000007</v>
      </c>
      <c r="K3" s="6">
        <v>1122.3699999999999</v>
      </c>
      <c r="M3" s="5">
        <v>0.52</v>
      </c>
      <c r="N3" s="5">
        <v>1.02</v>
      </c>
    </row>
    <row r="4" spans="1:14" ht="14.25" customHeight="1" x14ac:dyDescent="0.35">
      <c r="A4" s="4" t="s">
        <v>414</v>
      </c>
      <c r="B4" s="5">
        <v>0</v>
      </c>
      <c r="C4" s="5">
        <v>1.79</v>
      </c>
      <c r="D4" s="5">
        <v>4.6500000000000004</v>
      </c>
      <c r="E4" s="5">
        <v>3.62</v>
      </c>
      <c r="F4" s="5">
        <v>7.29</v>
      </c>
      <c r="G4" s="5">
        <v>10.38</v>
      </c>
      <c r="H4" s="5">
        <v>8.64</v>
      </c>
      <c r="I4" s="5">
        <v>9.36</v>
      </c>
      <c r="K4" s="6">
        <v>875.02</v>
      </c>
      <c r="M4" s="5">
        <v>1.06</v>
      </c>
      <c r="N4" s="5">
        <v>2.2999999999999998</v>
      </c>
    </row>
    <row r="5" spans="1:14" ht="14.25" customHeight="1" x14ac:dyDescent="0.35">
      <c r="A5" s="4" t="s">
        <v>415</v>
      </c>
      <c r="B5" s="5">
        <v>-0.24</v>
      </c>
      <c r="C5" s="5">
        <v>1.06</v>
      </c>
      <c r="D5" s="5">
        <v>1.32</v>
      </c>
      <c r="E5" s="5">
        <v>3.04</v>
      </c>
      <c r="F5" s="5" t="s">
        <v>13</v>
      </c>
      <c r="G5" s="5" t="s">
        <v>13</v>
      </c>
      <c r="H5" s="5" t="s">
        <v>13</v>
      </c>
      <c r="I5" s="5">
        <v>5.7</v>
      </c>
      <c r="K5" s="6">
        <v>37.270000000000003</v>
      </c>
      <c r="M5" s="5">
        <v>0.3</v>
      </c>
      <c r="N5" s="5">
        <v>1.3</v>
      </c>
    </row>
    <row r="6" spans="1:14" ht="14.25" customHeight="1" x14ac:dyDescent="0.35">
      <c r="A6" s="4" t="s">
        <v>416</v>
      </c>
      <c r="B6" s="5">
        <v>-0.14000000000000001</v>
      </c>
      <c r="C6" s="5">
        <v>1.03</v>
      </c>
      <c r="D6" s="5">
        <v>2.72</v>
      </c>
      <c r="E6" s="5">
        <v>2.82</v>
      </c>
      <c r="F6" s="5">
        <v>5.36</v>
      </c>
      <c r="G6" s="5">
        <v>7.7</v>
      </c>
      <c r="H6" s="5">
        <v>7.16</v>
      </c>
      <c r="I6" s="5">
        <v>7.53</v>
      </c>
      <c r="K6" s="6">
        <v>401.02</v>
      </c>
      <c r="M6" s="5">
        <v>0.19</v>
      </c>
      <c r="N6" s="5">
        <v>1.1100000000000001</v>
      </c>
    </row>
    <row r="7" spans="1:14" ht="14.25" customHeight="1" x14ac:dyDescent="0.35">
      <c r="A7" s="4" t="s">
        <v>417</v>
      </c>
      <c r="B7" s="5">
        <v>0.46</v>
      </c>
      <c r="C7" s="5">
        <v>2.04</v>
      </c>
      <c r="D7" s="5">
        <v>3.67</v>
      </c>
      <c r="E7" s="5">
        <v>3.47</v>
      </c>
      <c r="F7" s="5">
        <v>7.27</v>
      </c>
      <c r="G7" s="5">
        <v>10.4</v>
      </c>
      <c r="H7" s="5">
        <v>9.02</v>
      </c>
      <c r="I7" s="5">
        <v>9.4700000000000006</v>
      </c>
      <c r="K7" s="6">
        <v>278.47000000000003</v>
      </c>
      <c r="M7" s="5">
        <v>1.4</v>
      </c>
      <c r="N7" s="5">
        <v>2.5</v>
      </c>
    </row>
    <row r="8" spans="1:14" ht="14.25" customHeight="1" x14ac:dyDescent="0.35">
      <c r="A8" s="4" t="s">
        <v>418</v>
      </c>
      <c r="B8" s="5">
        <v>-0.17</v>
      </c>
      <c r="C8" s="5">
        <v>0.1</v>
      </c>
      <c r="D8" s="5">
        <v>1.33</v>
      </c>
      <c r="E8" s="5">
        <v>1.19</v>
      </c>
      <c r="F8" s="5">
        <v>3.53</v>
      </c>
      <c r="G8" s="5">
        <v>8.86</v>
      </c>
      <c r="H8" s="5">
        <v>8.0299999999999994</v>
      </c>
      <c r="I8" s="5">
        <v>9.34</v>
      </c>
      <c r="K8" s="6">
        <v>3512.51</v>
      </c>
      <c r="M8" s="5">
        <v>0.7</v>
      </c>
      <c r="N8" s="5">
        <v>1.5</v>
      </c>
    </row>
    <row r="9" spans="1:14" ht="14.25" customHeight="1" x14ac:dyDescent="0.35">
      <c r="A9" s="4" t="s">
        <v>419</v>
      </c>
      <c r="B9" s="5">
        <v>0.24</v>
      </c>
      <c r="C9" s="5">
        <v>1.56</v>
      </c>
      <c r="D9" s="5">
        <v>3.95</v>
      </c>
      <c r="E9" s="5">
        <v>4.9800000000000004</v>
      </c>
      <c r="F9" s="5">
        <v>9.0399999999999991</v>
      </c>
      <c r="G9" s="5">
        <v>11.76</v>
      </c>
      <c r="H9" s="5">
        <v>10.02</v>
      </c>
      <c r="I9" s="5">
        <v>9.86</v>
      </c>
      <c r="K9" s="6">
        <v>1443.86</v>
      </c>
      <c r="M9" s="5">
        <v>0.63</v>
      </c>
      <c r="N9" s="5">
        <v>1.58</v>
      </c>
    </row>
    <row r="10" spans="1:14" ht="14.25" customHeight="1" x14ac:dyDescent="0.35">
      <c r="A10" s="4" t="s">
        <v>420</v>
      </c>
      <c r="B10" s="5">
        <v>0.09</v>
      </c>
      <c r="C10" s="5">
        <v>0.88</v>
      </c>
      <c r="D10" s="5">
        <v>2.42</v>
      </c>
      <c r="E10" s="5">
        <v>2.0099999999999998</v>
      </c>
      <c r="F10" s="5">
        <v>4.95</v>
      </c>
      <c r="G10" s="5">
        <v>7.86</v>
      </c>
      <c r="H10" s="5">
        <v>7.61</v>
      </c>
      <c r="I10" s="5">
        <v>8.26</v>
      </c>
      <c r="K10" s="6">
        <v>618.95000000000005</v>
      </c>
      <c r="M10" s="5">
        <v>0.4</v>
      </c>
      <c r="N10" s="5">
        <v>1.1200000000000001</v>
      </c>
    </row>
    <row r="11" spans="1:14" ht="14.25" customHeight="1" x14ac:dyDescent="0.35">
      <c r="A11" s="4" t="s">
        <v>421</v>
      </c>
      <c r="B11" s="5">
        <v>-0.08</v>
      </c>
      <c r="C11" s="5">
        <v>1.17</v>
      </c>
      <c r="D11" s="5">
        <v>3.01</v>
      </c>
      <c r="E11" s="5">
        <v>1.0900000000000001</v>
      </c>
      <c r="F11" s="5">
        <v>4.9000000000000004</v>
      </c>
      <c r="G11" s="5">
        <v>9.24</v>
      </c>
      <c r="H11" s="5">
        <v>8.89</v>
      </c>
      <c r="I11" s="5">
        <v>10</v>
      </c>
      <c r="K11" s="6">
        <v>5639.52</v>
      </c>
      <c r="M11" s="5">
        <v>0.95</v>
      </c>
      <c r="N11" s="5">
        <v>1.89</v>
      </c>
    </row>
    <row r="12" spans="1:14" ht="14.25" customHeight="1" x14ac:dyDescent="0.35">
      <c r="A12" s="4" t="s">
        <v>422</v>
      </c>
      <c r="B12" s="5">
        <v>0.18</v>
      </c>
      <c r="C12" s="5">
        <v>0.84</v>
      </c>
      <c r="D12" s="5">
        <v>3.45</v>
      </c>
      <c r="E12" s="5">
        <v>6.96</v>
      </c>
      <c r="F12" s="5">
        <v>10.96</v>
      </c>
      <c r="G12" s="5">
        <v>14.05</v>
      </c>
      <c r="H12" s="5">
        <v>11.52</v>
      </c>
      <c r="I12" s="5">
        <v>10.130000000000001</v>
      </c>
      <c r="K12" s="6">
        <v>1126.77</v>
      </c>
      <c r="M12" s="5">
        <v>0.67</v>
      </c>
      <c r="N12" s="5">
        <v>1.52</v>
      </c>
    </row>
    <row r="13" spans="1:14" ht="14.25" customHeight="1" x14ac:dyDescent="0.35">
      <c r="A13" s="4" t="s">
        <v>423</v>
      </c>
      <c r="B13" s="5">
        <v>0</v>
      </c>
      <c r="C13" s="5">
        <v>0.68</v>
      </c>
      <c r="D13" s="5">
        <v>2.15</v>
      </c>
      <c r="E13" s="5">
        <v>1.48</v>
      </c>
      <c r="F13" s="5">
        <v>3.91</v>
      </c>
      <c r="G13" s="5">
        <v>7.14</v>
      </c>
      <c r="H13" s="5">
        <v>7.68</v>
      </c>
      <c r="I13" s="5">
        <v>8.23</v>
      </c>
      <c r="K13" s="6">
        <v>16499.919999999998</v>
      </c>
      <c r="M13" s="5">
        <v>0.49</v>
      </c>
      <c r="N13" s="5">
        <v>0.96</v>
      </c>
    </row>
    <row r="14" spans="1:14" ht="14.25" customHeight="1" x14ac:dyDescent="0.35">
      <c r="A14" s="4" t="s">
        <v>424</v>
      </c>
      <c r="B14" s="5">
        <v>0.18</v>
      </c>
      <c r="C14" s="5">
        <v>1.25</v>
      </c>
      <c r="D14" s="5">
        <v>4.0999999999999996</v>
      </c>
      <c r="E14" s="5">
        <v>1.98</v>
      </c>
      <c r="F14" s="5">
        <v>1.42</v>
      </c>
      <c r="G14" s="5">
        <v>9.23</v>
      </c>
      <c r="H14" s="5">
        <v>8.06</v>
      </c>
      <c r="I14" s="5">
        <v>9.01</v>
      </c>
      <c r="K14" s="6">
        <v>294.41000000000003</v>
      </c>
      <c r="M14" s="5">
        <v>0.74</v>
      </c>
      <c r="N14" s="5">
        <v>2.2999999999999998</v>
      </c>
    </row>
    <row r="15" spans="1:14" ht="14.25" customHeight="1" x14ac:dyDescent="0.35">
      <c r="A15" s="4" t="s">
        <v>425</v>
      </c>
      <c r="B15" s="5">
        <v>0.06</v>
      </c>
      <c r="C15" s="5">
        <v>1.74</v>
      </c>
      <c r="D15" s="5">
        <v>3.07</v>
      </c>
      <c r="E15" s="5">
        <v>2.97</v>
      </c>
      <c r="F15" s="5">
        <v>7.56</v>
      </c>
      <c r="G15" s="5">
        <v>11.07</v>
      </c>
      <c r="H15" s="5">
        <v>10.71</v>
      </c>
      <c r="I15" s="5">
        <v>9.98</v>
      </c>
      <c r="K15" s="6">
        <v>10223.48</v>
      </c>
      <c r="M15" s="5">
        <v>0.69</v>
      </c>
      <c r="N15" s="5">
        <v>1.75</v>
      </c>
    </row>
    <row r="16" spans="1:14" ht="14.25" customHeight="1" x14ac:dyDescent="0.35">
      <c r="A16" s="4" t="s">
        <v>426</v>
      </c>
      <c r="B16" s="5">
        <v>0.39</v>
      </c>
      <c r="C16" s="5">
        <v>2.21</v>
      </c>
      <c r="D16" s="5">
        <v>2.3199999999999998</v>
      </c>
      <c r="E16" s="5">
        <v>4.2699999999999996</v>
      </c>
      <c r="F16" s="5">
        <v>5.14</v>
      </c>
      <c r="G16" s="5">
        <v>9.66</v>
      </c>
      <c r="H16" s="5">
        <v>8.19</v>
      </c>
      <c r="I16" s="5">
        <v>7.94</v>
      </c>
      <c r="K16" s="6">
        <v>36.369999999999997</v>
      </c>
      <c r="M16" s="5">
        <v>1.33</v>
      </c>
      <c r="N16" s="5">
        <v>2.35</v>
      </c>
    </row>
    <row r="17" spans="1:14" ht="14.25" customHeight="1" x14ac:dyDescent="0.35">
      <c r="A17" s="4" t="s">
        <v>427</v>
      </c>
      <c r="B17" s="5">
        <v>0.3</v>
      </c>
      <c r="C17" s="5">
        <v>1.25</v>
      </c>
      <c r="D17" s="5">
        <v>3.92</v>
      </c>
      <c r="E17" s="5">
        <v>3.07</v>
      </c>
      <c r="F17" s="5">
        <v>8.3699999999999992</v>
      </c>
      <c r="G17" s="5">
        <v>10.5</v>
      </c>
      <c r="H17" s="5">
        <v>9.4600000000000009</v>
      </c>
      <c r="I17" s="5">
        <v>10.45</v>
      </c>
      <c r="K17" s="6">
        <v>530.48</v>
      </c>
      <c r="M17" s="5">
        <v>0.83</v>
      </c>
      <c r="N17" s="5">
        <v>2.38</v>
      </c>
    </row>
    <row r="18" spans="1:14" ht="14.25" customHeight="1" x14ac:dyDescent="0.35">
      <c r="A18" s="4" t="s">
        <v>428</v>
      </c>
      <c r="B18" s="5">
        <v>-0.03</v>
      </c>
      <c r="C18" s="5">
        <v>1.22</v>
      </c>
      <c r="D18" s="5">
        <v>3.35</v>
      </c>
      <c r="E18" s="5">
        <v>2.61</v>
      </c>
      <c r="F18" s="5">
        <v>7.11</v>
      </c>
      <c r="G18" s="5">
        <v>10.74</v>
      </c>
      <c r="H18" s="5">
        <v>9.64</v>
      </c>
      <c r="I18" s="5">
        <v>11.58</v>
      </c>
      <c r="K18" s="6">
        <v>1983.36</v>
      </c>
      <c r="M18" s="5">
        <v>0.4</v>
      </c>
      <c r="N18" s="5">
        <v>1.38</v>
      </c>
    </row>
    <row r="19" spans="1:14" ht="14.25" customHeight="1" x14ac:dyDescent="0.35">
      <c r="A19" s="4" t="s">
        <v>429</v>
      </c>
      <c r="B19" s="5">
        <v>-0.25</v>
      </c>
      <c r="C19" s="5">
        <v>0.69</v>
      </c>
      <c r="D19" s="5">
        <v>2.06</v>
      </c>
      <c r="E19" s="5">
        <v>1.03</v>
      </c>
      <c r="F19" s="5">
        <v>4.45</v>
      </c>
      <c r="G19" s="5">
        <v>7.59</v>
      </c>
      <c r="H19" s="5">
        <v>7.35</v>
      </c>
      <c r="I19" s="5">
        <v>5.59</v>
      </c>
      <c r="K19" s="6">
        <v>834.58</v>
      </c>
      <c r="M19" s="5">
        <v>0.49</v>
      </c>
      <c r="N19" s="5">
        <v>1.57</v>
      </c>
    </row>
    <row r="20" spans="1:14" ht="14.25" customHeight="1" x14ac:dyDescent="0.35">
      <c r="A20" s="4" t="s">
        <v>430</v>
      </c>
      <c r="B20" s="5">
        <v>0.08</v>
      </c>
      <c r="C20" s="5">
        <v>1.1100000000000001</v>
      </c>
      <c r="D20" s="5">
        <v>3.28</v>
      </c>
      <c r="E20" s="5">
        <v>2.42</v>
      </c>
      <c r="F20" s="5">
        <v>5.04</v>
      </c>
      <c r="G20" s="5">
        <v>7.24</v>
      </c>
      <c r="H20" s="5">
        <v>6.7</v>
      </c>
      <c r="I20" s="5">
        <v>8.67</v>
      </c>
      <c r="K20" s="6">
        <v>60.21</v>
      </c>
      <c r="M20" s="5">
        <v>0.59</v>
      </c>
      <c r="N20" s="5">
        <v>1.32</v>
      </c>
    </row>
    <row r="21" spans="1:14" ht="14.25" customHeight="1" x14ac:dyDescent="0.35">
      <c r="A21" s="4" t="s">
        <v>431</v>
      </c>
      <c r="B21" s="5">
        <v>0.15</v>
      </c>
      <c r="C21" s="5">
        <v>-7.0000000000000007E-2</v>
      </c>
      <c r="D21" s="5">
        <v>4.7699999999999996</v>
      </c>
      <c r="E21" s="5">
        <v>6.07</v>
      </c>
      <c r="F21" s="5">
        <v>8.67</v>
      </c>
      <c r="G21" s="5" t="s">
        <v>13</v>
      </c>
      <c r="H21" s="5" t="s">
        <v>13</v>
      </c>
      <c r="I21" s="5">
        <v>8.58</v>
      </c>
      <c r="K21" s="6">
        <v>51.85</v>
      </c>
      <c r="M21" s="5">
        <v>0.56000000000000005</v>
      </c>
      <c r="N21" s="5">
        <v>2.33</v>
      </c>
    </row>
    <row r="22" spans="1:14" ht="14.25" customHeight="1" x14ac:dyDescent="0.35">
      <c r="A22" s="4" t="s">
        <v>432</v>
      </c>
      <c r="B22" s="5">
        <v>-0.1</v>
      </c>
      <c r="C22" s="5">
        <v>0.85</v>
      </c>
      <c r="D22" s="5">
        <v>2.15</v>
      </c>
      <c r="E22" s="5">
        <v>1.87</v>
      </c>
      <c r="F22" s="5">
        <v>4.6900000000000004</v>
      </c>
      <c r="G22" s="5">
        <v>9.11</v>
      </c>
      <c r="H22" s="5">
        <v>8.6999999999999993</v>
      </c>
      <c r="I22" s="5">
        <v>9.44</v>
      </c>
      <c r="K22" s="6">
        <v>5610.15</v>
      </c>
      <c r="M22" s="5">
        <v>0.94</v>
      </c>
      <c r="N22" s="5">
        <v>1.53</v>
      </c>
    </row>
    <row r="23" spans="1:14" ht="14.25" customHeight="1" x14ac:dyDescent="0.35">
      <c r="A23" s="4" t="s">
        <v>433</v>
      </c>
      <c r="B23" s="5">
        <v>0.12</v>
      </c>
      <c r="C23" s="5">
        <v>1.47</v>
      </c>
      <c r="D23" s="5">
        <v>2.92</v>
      </c>
      <c r="E23" s="5">
        <v>1.04</v>
      </c>
      <c r="F23" s="5">
        <v>3.75</v>
      </c>
      <c r="G23" s="5">
        <v>10.11</v>
      </c>
      <c r="H23" s="5">
        <v>10.31</v>
      </c>
      <c r="I23" s="5">
        <v>9.64</v>
      </c>
      <c r="K23" s="6">
        <v>1044.03</v>
      </c>
      <c r="M23" s="5">
        <v>0.77</v>
      </c>
      <c r="N23" s="5">
        <v>2.19</v>
      </c>
    </row>
    <row r="24" spans="1:14" ht="14.25" customHeight="1" x14ac:dyDescent="0.35">
      <c r="A24" s="4" t="s">
        <v>434</v>
      </c>
      <c r="B24" s="5">
        <v>0.27</v>
      </c>
      <c r="C24" s="5">
        <v>0.88</v>
      </c>
      <c r="D24" s="5">
        <v>3.39</v>
      </c>
      <c r="E24" s="5">
        <v>2.33</v>
      </c>
      <c r="F24" s="5">
        <v>4.93</v>
      </c>
      <c r="G24" s="5">
        <v>7.64</v>
      </c>
      <c r="H24" s="5">
        <v>6.71</v>
      </c>
      <c r="I24" s="5">
        <v>7.83</v>
      </c>
      <c r="K24" s="6">
        <v>141.44999999999999</v>
      </c>
      <c r="M24" s="5">
        <v>1.53</v>
      </c>
      <c r="N24" s="5">
        <v>1.95</v>
      </c>
    </row>
    <row r="25" spans="1:14" ht="14.25" customHeight="1" x14ac:dyDescent="0.35">
      <c r="A25" s="4" t="s">
        <v>435</v>
      </c>
      <c r="B25" s="5">
        <v>-0.19</v>
      </c>
      <c r="C25" s="5">
        <v>1.1399999999999999</v>
      </c>
      <c r="D25" s="5">
        <v>2.5499999999999998</v>
      </c>
      <c r="E25" s="5">
        <v>0.85</v>
      </c>
      <c r="F25" s="5">
        <v>5.83</v>
      </c>
      <c r="G25" s="5">
        <v>9.19</v>
      </c>
      <c r="H25" s="5">
        <v>9.34</v>
      </c>
      <c r="I25" s="5">
        <v>9.42</v>
      </c>
      <c r="K25" s="6">
        <v>853.03</v>
      </c>
      <c r="M25" s="5">
        <v>0.65</v>
      </c>
      <c r="N25" s="5">
        <v>1.65</v>
      </c>
    </row>
    <row r="26" spans="1:14" ht="14.25" customHeight="1" x14ac:dyDescent="0.35">
      <c r="A26" s="4" t="s">
        <v>436</v>
      </c>
      <c r="B26" s="5">
        <v>0.21</v>
      </c>
      <c r="C26" s="5">
        <v>1.21</v>
      </c>
      <c r="D26" s="5">
        <v>3.82</v>
      </c>
      <c r="E26" s="5">
        <v>3.42</v>
      </c>
      <c r="F26" s="5">
        <v>8.58</v>
      </c>
      <c r="G26" s="5" t="s">
        <v>13</v>
      </c>
      <c r="H26" s="5" t="s">
        <v>13</v>
      </c>
      <c r="I26" s="5">
        <v>12.55</v>
      </c>
      <c r="K26" s="6">
        <v>273.31</v>
      </c>
      <c r="M26" s="5">
        <v>0.78</v>
      </c>
      <c r="N26" s="5">
        <v>2.11</v>
      </c>
    </row>
    <row r="27" spans="1:14" ht="14.25" customHeight="1" x14ac:dyDescent="0.35">
      <c r="A27" s="7" t="s">
        <v>49</v>
      </c>
      <c r="B27" s="8">
        <f t="shared" ref="B27:I27" si="0">MEDIAN(B3:B26)</f>
        <v>7.0000000000000007E-2</v>
      </c>
      <c r="C27" s="8">
        <f t="shared" si="0"/>
        <v>1.125</v>
      </c>
      <c r="D27" s="8">
        <f t="shared" si="0"/>
        <v>3.04</v>
      </c>
      <c r="E27" s="8">
        <f t="shared" si="0"/>
        <v>2.7149999999999999</v>
      </c>
      <c r="F27" s="8">
        <f t="shared" si="0"/>
        <v>5.36</v>
      </c>
      <c r="G27" s="8">
        <f t="shared" si="0"/>
        <v>9.23</v>
      </c>
      <c r="H27" s="8">
        <f t="shared" si="0"/>
        <v>8.64</v>
      </c>
      <c r="I27" s="8">
        <f t="shared" si="0"/>
        <v>9.35</v>
      </c>
    </row>
    <row r="28" spans="1:14" ht="14.25" customHeight="1" x14ac:dyDescent="0.35">
      <c r="A28" s="2" t="s">
        <v>50</v>
      </c>
      <c r="B28" s="5" t="s">
        <v>13</v>
      </c>
      <c r="C28" s="5" t="s">
        <v>13</v>
      </c>
      <c r="D28" s="5" t="s">
        <v>13</v>
      </c>
      <c r="E28" s="5" t="s">
        <v>13</v>
      </c>
      <c r="F28" s="5" t="s">
        <v>13</v>
      </c>
      <c r="G28" s="5" t="s">
        <v>13</v>
      </c>
      <c r="H28" s="5" t="s">
        <v>13</v>
      </c>
      <c r="I28" s="5" t="s">
        <v>13</v>
      </c>
    </row>
    <row r="29" spans="1:14" ht="14.25" customHeight="1" x14ac:dyDescent="0.35">
      <c r="A29" s="4" t="s">
        <v>129</v>
      </c>
      <c r="B29" s="5">
        <v>-0.48</v>
      </c>
      <c r="C29" s="5">
        <v>1.92</v>
      </c>
      <c r="D29" s="5">
        <v>4.93</v>
      </c>
      <c r="E29" s="5">
        <v>1.85</v>
      </c>
      <c r="F29" s="5">
        <v>4.99</v>
      </c>
      <c r="G29" s="5">
        <v>13</v>
      </c>
      <c r="H29" s="5">
        <v>12.02</v>
      </c>
      <c r="I29" s="5"/>
    </row>
  </sheetData>
  <mergeCells count="1">
    <mergeCell ref="M1:N1"/>
  </mergeCells>
  <conditionalFormatting sqref="F3:F26">
    <cfRule type="expression" dxfId="38" priority="4">
      <formula>AND(ISNUMBER(F3),F3&gt;MEDIAN($F$3:$F$26))</formula>
    </cfRule>
  </conditionalFormatting>
  <conditionalFormatting sqref="G3:G26">
    <cfRule type="expression" dxfId="37" priority="1">
      <formula>AND(ISNUMBER(G3),G3&gt;MEDIAN($G$3:$G$26))</formula>
    </cfRule>
  </conditionalFormatting>
  <conditionalFormatting sqref="H3:H26">
    <cfRule type="expression" dxfId="36" priority="6">
      <formula>AND(ISNUMBER(H3),H3&gt;MEDIAN($H$3:$H$26))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7"/>
  <sheetViews>
    <sheetView zoomScale="60" zoomScaleNormal="60" workbookViewId="0">
      <selection activeCell="F20" sqref="F20"/>
    </sheetView>
  </sheetViews>
  <sheetFormatPr defaultColWidth="8.54296875" defaultRowHeight="14.5" x14ac:dyDescent="0.35"/>
  <cols>
    <col min="1" max="1" width="34.90625" customWidth="1"/>
    <col min="2" max="2" width="6.81640625" customWidth="1"/>
    <col min="3" max="3" width="7.453125" customWidth="1"/>
    <col min="4" max="5" width="8.36328125" customWidth="1"/>
    <col min="6" max="6" width="6.453125" customWidth="1"/>
    <col min="7" max="8" width="6.81640625" customWidth="1"/>
  </cols>
  <sheetData>
    <row r="1" spans="1:8" ht="14.25" customHeight="1" x14ac:dyDescent="0.35">
      <c r="A1" s="13" t="s">
        <v>50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14.25" customHeight="1" x14ac:dyDescent="0.35">
      <c r="A2" s="4" t="s">
        <v>123</v>
      </c>
      <c r="B2" s="14">
        <v>-0.73</v>
      </c>
      <c r="C2" s="5">
        <v>1.74</v>
      </c>
      <c r="D2" s="5">
        <v>3.53</v>
      </c>
      <c r="E2" s="5">
        <v>-2.16</v>
      </c>
      <c r="F2" s="5">
        <v>1.18</v>
      </c>
      <c r="G2" s="5">
        <v>9.6999999999999993</v>
      </c>
      <c r="H2" s="5">
        <v>8.82</v>
      </c>
    </row>
    <row r="3" spans="1:8" ht="14.25" customHeight="1" x14ac:dyDescent="0.35">
      <c r="A3" s="4" t="s">
        <v>437</v>
      </c>
      <c r="B3" s="14">
        <v>-1.1299999999999999</v>
      </c>
      <c r="C3" s="5">
        <v>1.86</v>
      </c>
      <c r="D3" s="5">
        <v>3.32</v>
      </c>
      <c r="E3" s="5">
        <v>1.06</v>
      </c>
      <c r="F3" s="5">
        <v>0.83</v>
      </c>
      <c r="G3" s="5">
        <v>15.67</v>
      </c>
      <c r="H3" s="5">
        <v>10.029999999999999</v>
      </c>
    </row>
    <row r="4" spans="1:8" ht="14.25" customHeight="1" x14ac:dyDescent="0.35">
      <c r="A4" s="4" t="s">
        <v>438</v>
      </c>
      <c r="B4" s="14">
        <v>-0.92</v>
      </c>
      <c r="C4" s="5">
        <v>2.64</v>
      </c>
      <c r="D4" s="5">
        <v>4.5599999999999996</v>
      </c>
      <c r="E4" s="5">
        <v>-0.11</v>
      </c>
      <c r="F4" s="5">
        <v>2.89</v>
      </c>
      <c r="G4" s="5">
        <v>11.15</v>
      </c>
      <c r="H4" s="5">
        <v>10.11</v>
      </c>
    </row>
    <row r="5" spans="1:8" ht="14.25" customHeight="1" x14ac:dyDescent="0.35">
      <c r="A5" s="4" t="s">
        <v>439</v>
      </c>
      <c r="B5" s="14">
        <v>-0.26</v>
      </c>
      <c r="C5" s="5">
        <v>5.43</v>
      </c>
      <c r="D5" s="5">
        <v>5.0599999999999996</v>
      </c>
      <c r="E5" s="5">
        <v>3.07</v>
      </c>
      <c r="F5" s="5">
        <v>5.31</v>
      </c>
      <c r="G5" s="5">
        <v>9.9700000000000006</v>
      </c>
      <c r="H5" s="5">
        <v>9.2100000000000009</v>
      </c>
    </row>
    <row r="6" spans="1:8" ht="14.25" customHeight="1" x14ac:dyDescent="0.35">
      <c r="A6" s="4" t="s">
        <v>440</v>
      </c>
      <c r="B6" s="14">
        <v>0.05</v>
      </c>
      <c r="C6" s="5">
        <v>1.23</v>
      </c>
      <c r="D6" s="5">
        <v>2.21</v>
      </c>
      <c r="E6" s="5">
        <v>-1.0900000000000001</v>
      </c>
      <c r="F6" s="5">
        <v>2.77</v>
      </c>
      <c r="G6" s="5">
        <v>12.57</v>
      </c>
      <c r="H6" s="5">
        <v>10.3</v>
      </c>
    </row>
    <row r="7" spans="1:8" ht="14.25" customHeight="1" x14ac:dyDescent="0.35">
      <c r="A7" s="4" t="s">
        <v>441</v>
      </c>
      <c r="B7" s="14">
        <v>-0.57999999999999996</v>
      </c>
      <c r="C7" s="5">
        <v>4.7</v>
      </c>
      <c r="D7" s="5">
        <v>4.08</v>
      </c>
      <c r="E7" s="5">
        <v>3.09</v>
      </c>
      <c r="F7" s="5">
        <v>3.74</v>
      </c>
      <c r="G7" s="5">
        <v>9.44</v>
      </c>
      <c r="H7" s="5">
        <v>8.3699999999999992</v>
      </c>
    </row>
    <row r="8" spans="1:8" ht="14.25" customHeight="1" x14ac:dyDescent="0.35">
      <c r="A8" s="4" t="s">
        <v>124</v>
      </c>
      <c r="B8" s="14">
        <v>-0.83</v>
      </c>
      <c r="C8" s="5">
        <v>1.31</v>
      </c>
      <c r="D8" s="5">
        <v>2.86</v>
      </c>
      <c r="E8" s="5">
        <v>-4.3099999999999996</v>
      </c>
      <c r="F8" s="5">
        <v>-1.08</v>
      </c>
      <c r="G8" s="5">
        <v>7.82</v>
      </c>
      <c r="H8" s="5">
        <v>8.06</v>
      </c>
    </row>
    <row r="9" spans="1:8" ht="14.25" customHeight="1" x14ac:dyDescent="0.35">
      <c r="A9" s="4" t="s">
        <v>141</v>
      </c>
      <c r="B9" s="14">
        <v>-0.49</v>
      </c>
      <c r="C9" s="5">
        <v>1.7</v>
      </c>
      <c r="D9" s="5">
        <v>4.34</v>
      </c>
      <c r="E9" s="5">
        <v>1.2</v>
      </c>
      <c r="F9" s="5">
        <v>4.03</v>
      </c>
      <c r="G9" s="5">
        <v>11.92</v>
      </c>
      <c r="H9" s="5">
        <v>10.89</v>
      </c>
    </row>
    <row r="10" spans="1:8" ht="14.25" customHeight="1" x14ac:dyDescent="0.35">
      <c r="A10" s="4" t="s">
        <v>129</v>
      </c>
      <c r="B10" s="14">
        <v>-0.48</v>
      </c>
      <c r="C10" s="5">
        <v>1.92</v>
      </c>
      <c r="D10" s="5">
        <v>4.93</v>
      </c>
      <c r="E10" s="5">
        <v>1.85</v>
      </c>
      <c r="F10" s="5">
        <v>4.99</v>
      </c>
      <c r="G10" s="5">
        <v>13</v>
      </c>
      <c r="H10" s="5">
        <v>12.02</v>
      </c>
    </row>
    <row r="11" spans="1:8" ht="14.25" customHeight="1" x14ac:dyDescent="0.35">
      <c r="A11" s="4" t="s">
        <v>442</v>
      </c>
      <c r="B11" s="14">
        <v>-1.48</v>
      </c>
      <c r="C11" s="5">
        <v>10.02</v>
      </c>
      <c r="D11" s="5">
        <v>12.12</v>
      </c>
      <c r="E11" s="5">
        <v>3.43</v>
      </c>
      <c r="F11" s="5">
        <v>21.1</v>
      </c>
      <c r="G11" s="5">
        <v>23.95</v>
      </c>
      <c r="H11" s="5">
        <v>23.44</v>
      </c>
    </row>
    <row r="12" spans="1:8" ht="14.25" customHeight="1" x14ac:dyDescent="0.35">
      <c r="A12" s="4" t="s">
        <v>443</v>
      </c>
      <c r="B12" s="14">
        <v>-0.44</v>
      </c>
      <c r="C12" s="5">
        <v>0.05</v>
      </c>
      <c r="D12" s="5">
        <v>6.21</v>
      </c>
      <c r="E12" s="5">
        <v>-4.45</v>
      </c>
      <c r="F12" s="5">
        <v>3.88</v>
      </c>
      <c r="G12" s="5">
        <v>9.24</v>
      </c>
      <c r="H12" s="5">
        <v>9.6999999999999993</v>
      </c>
    </row>
    <row r="13" spans="1:8" ht="14.25" customHeight="1" x14ac:dyDescent="0.35">
      <c r="A13" s="4" t="s">
        <v>444</v>
      </c>
      <c r="B13" s="14">
        <v>1.63</v>
      </c>
      <c r="C13" s="5">
        <v>-3.81</v>
      </c>
      <c r="D13" s="5">
        <v>-3.92</v>
      </c>
      <c r="E13" s="5">
        <v>10.41</v>
      </c>
      <c r="F13" s="5">
        <v>19.989999999999998</v>
      </c>
      <c r="G13" s="5">
        <v>52.36</v>
      </c>
      <c r="H13" s="5">
        <v>28.02</v>
      </c>
    </row>
    <row r="14" spans="1:8" ht="14.25" customHeight="1" x14ac:dyDescent="0.35">
      <c r="A14" s="4" t="s">
        <v>445</v>
      </c>
      <c r="B14" s="14">
        <v>-1.69</v>
      </c>
      <c r="C14" s="5">
        <v>-0.39</v>
      </c>
      <c r="D14" s="5">
        <v>-4.99</v>
      </c>
      <c r="E14" s="5">
        <v>0.27</v>
      </c>
      <c r="F14" s="5">
        <v>13.25</v>
      </c>
      <c r="G14" s="5">
        <v>16.46</v>
      </c>
      <c r="H14" s="5">
        <v>12.71</v>
      </c>
    </row>
    <row r="15" spans="1:8" ht="14.25" customHeight="1" x14ac:dyDescent="0.35">
      <c r="A15" s="4" t="s">
        <v>446</v>
      </c>
      <c r="B15" s="14">
        <v>1.3</v>
      </c>
      <c r="C15" s="5">
        <v>5.0599999999999996</v>
      </c>
      <c r="D15" s="5">
        <v>14.13</v>
      </c>
      <c r="E15" s="5">
        <v>7.92</v>
      </c>
      <c r="F15" s="5">
        <v>8.7899999999999991</v>
      </c>
      <c r="G15" s="5">
        <v>13.63</v>
      </c>
      <c r="H15" s="5">
        <v>10.84</v>
      </c>
    </row>
    <row r="16" spans="1:8" ht="14.25" customHeight="1" x14ac:dyDescent="0.35">
      <c r="A16" s="4" t="s">
        <v>447</v>
      </c>
      <c r="B16" s="14">
        <v>-0.5</v>
      </c>
      <c r="C16" s="5">
        <v>-1.66</v>
      </c>
      <c r="D16" s="5">
        <v>-3.81</v>
      </c>
      <c r="E16" s="5">
        <v>7.92</v>
      </c>
      <c r="F16" s="5">
        <v>11.85</v>
      </c>
      <c r="G16" s="5">
        <v>13.48</v>
      </c>
      <c r="H16" s="5">
        <v>14.38</v>
      </c>
    </row>
    <row r="17" spans="1:8" ht="14.25" customHeight="1" x14ac:dyDescent="0.35">
      <c r="A17" s="4" t="s">
        <v>448</v>
      </c>
      <c r="B17" s="14">
        <v>-0.95</v>
      </c>
      <c r="C17" s="5">
        <v>-1.22</v>
      </c>
      <c r="D17" s="5">
        <v>2.91</v>
      </c>
      <c r="E17" s="5">
        <v>-6.76</v>
      </c>
      <c r="F17" s="5">
        <v>-0.45</v>
      </c>
      <c r="G17" s="5">
        <v>10.07</v>
      </c>
      <c r="H17" s="5">
        <v>8.59</v>
      </c>
    </row>
    <row r="18" spans="1:8" ht="14.25" customHeight="1" x14ac:dyDescent="0.35">
      <c r="A18" s="4" t="s">
        <v>449</v>
      </c>
      <c r="B18" s="14">
        <v>-1.22</v>
      </c>
      <c r="C18" s="5">
        <v>0.39</v>
      </c>
      <c r="D18" s="5">
        <v>5.05</v>
      </c>
      <c r="E18" s="5">
        <v>14.67</v>
      </c>
      <c r="F18" s="5">
        <v>12.7</v>
      </c>
      <c r="G18" s="5">
        <v>19.98</v>
      </c>
      <c r="H18" s="5">
        <v>13.32</v>
      </c>
    </row>
    <row r="19" spans="1:8" ht="14.25" customHeight="1" x14ac:dyDescent="0.35">
      <c r="A19" s="4" t="s">
        <v>450</v>
      </c>
      <c r="B19" s="14">
        <v>-0.45</v>
      </c>
      <c r="C19" s="5">
        <v>4.58</v>
      </c>
      <c r="D19" s="5">
        <v>6.64</v>
      </c>
      <c r="E19" s="5">
        <v>3.05</v>
      </c>
      <c r="F19" s="5">
        <v>2.56</v>
      </c>
      <c r="G19" s="5">
        <v>13.86</v>
      </c>
      <c r="H19" s="5">
        <v>13.16</v>
      </c>
    </row>
    <row r="20" spans="1:8" ht="14.25" customHeight="1" x14ac:dyDescent="0.35">
      <c r="A20" s="4" t="s">
        <v>451</v>
      </c>
      <c r="B20" s="14">
        <v>0.82</v>
      </c>
      <c r="C20" s="5">
        <v>5.21</v>
      </c>
      <c r="D20" s="5">
        <v>7</v>
      </c>
      <c r="E20" s="5">
        <v>22.65</v>
      </c>
      <c r="F20" s="5">
        <v>25.71</v>
      </c>
      <c r="G20" s="5">
        <v>48.78</v>
      </c>
      <c r="H20" s="5">
        <v>54.93</v>
      </c>
    </row>
    <row r="21" spans="1:8" ht="14.25" customHeight="1" x14ac:dyDescent="0.35">
      <c r="A21" s="4" t="s">
        <v>452</v>
      </c>
      <c r="B21" s="14">
        <v>1.56</v>
      </c>
      <c r="C21" s="5">
        <v>7.69</v>
      </c>
      <c r="D21" s="5">
        <v>15.94</v>
      </c>
      <c r="E21" s="5">
        <v>4.37</v>
      </c>
      <c r="F21" s="5">
        <v>-0.31</v>
      </c>
      <c r="G21" s="5">
        <v>12.64</v>
      </c>
      <c r="H21" s="5">
        <v>7.87</v>
      </c>
    </row>
    <row r="22" spans="1:8" ht="14.25" customHeight="1" x14ac:dyDescent="0.35">
      <c r="A22" s="4" t="s">
        <v>453</v>
      </c>
      <c r="B22" s="14">
        <v>-0.7</v>
      </c>
      <c r="C22" s="5">
        <v>4.38</v>
      </c>
      <c r="D22" s="5">
        <v>4.51</v>
      </c>
      <c r="E22" s="5">
        <v>6.22</v>
      </c>
      <c r="F22" s="5">
        <v>16.91</v>
      </c>
      <c r="G22" s="5">
        <v>19.96</v>
      </c>
      <c r="H22" s="5">
        <v>16.899999999999999</v>
      </c>
    </row>
    <row r="23" spans="1:8" ht="14.25" customHeight="1" x14ac:dyDescent="0.35">
      <c r="A23" s="4" t="s">
        <v>454</v>
      </c>
      <c r="B23" s="14">
        <v>-0.89</v>
      </c>
      <c r="C23" s="5">
        <v>0.73</v>
      </c>
      <c r="D23" s="5">
        <v>0.54</v>
      </c>
      <c r="E23" s="5">
        <v>-1.29</v>
      </c>
      <c r="F23" s="5">
        <v>4.76</v>
      </c>
      <c r="G23" s="5">
        <v>16.239999999999998</v>
      </c>
      <c r="H23" s="5">
        <v>15.57</v>
      </c>
    </row>
    <row r="24" spans="1:8" ht="14.25" customHeight="1" x14ac:dyDescent="0.35">
      <c r="A24" s="4" t="s">
        <v>455</v>
      </c>
      <c r="B24" s="14">
        <v>-0.6</v>
      </c>
      <c r="C24" s="5">
        <v>9.17</v>
      </c>
      <c r="D24" s="5">
        <v>14.61</v>
      </c>
      <c r="E24" s="5">
        <v>-4.03</v>
      </c>
      <c r="F24" s="5">
        <v>-9.98</v>
      </c>
      <c r="G24" s="5">
        <v>0.35</v>
      </c>
      <c r="H24" s="5">
        <v>-0.82</v>
      </c>
    </row>
    <row r="25" spans="1:8" ht="14.25" customHeight="1" x14ac:dyDescent="0.35">
      <c r="A25" s="4" t="s">
        <v>284</v>
      </c>
      <c r="B25" s="14">
        <v>-0.24</v>
      </c>
      <c r="C25" s="5">
        <v>1.66</v>
      </c>
      <c r="D25" s="5">
        <v>4.1399999999999997</v>
      </c>
      <c r="E25" s="5">
        <v>2.37</v>
      </c>
      <c r="F25" s="5">
        <v>6.25</v>
      </c>
      <c r="G25" s="5">
        <v>14.03</v>
      </c>
      <c r="H25" s="5">
        <v>13.22</v>
      </c>
    </row>
    <row r="26" spans="1:8" ht="14.25" customHeight="1" x14ac:dyDescent="0.35">
      <c r="A26" s="4" t="s">
        <v>456</v>
      </c>
      <c r="B26" s="14">
        <v>-1.17</v>
      </c>
      <c r="C26" s="5">
        <v>1.71</v>
      </c>
      <c r="D26" s="5">
        <v>2.77</v>
      </c>
      <c r="E26" s="5">
        <v>-0.95</v>
      </c>
      <c r="F26" s="5">
        <v>1.57</v>
      </c>
      <c r="G26" s="5">
        <v>11.09</v>
      </c>
      <c r="H26" s="5">
        <v>9.6300000000000008</v>
      </c>
    </row>
    <row r="27" spans="1:8" ht="14.25" customHeight="1" x14ac:dyDescent="0.35">
      <c r="A27" s="4" t="s">
        <v>457</v>
      </c>
      <c r="B27" s="14">
        <v>-1.88</v>
      </c>
      <c r="C27" s="5">
        <v>2.08</v>
      </c>
      <c r="D27" s="5">
        <v>-4.58</v>
      </c>
      <c r="E27" s="5">
        <v>8.9499999999999993</v>
      </c>
      <c r="F27" s="5">
        <v>40.42</v>
      </c>
      <c r="G27" s="5">
        <v>25.48</v>
      </c>
      <c r="H27" s="5">
        <v>17.399999999999999</v>
      </c>
    </row>
    <row r="28" spans="1:8" ht="14.25" customHeight="1" x14ac:dyDescent="0.35">
      <c r="A28" s="4" t="s">
        <v>86</v>
      </c>
      <c r="B28" s="14">
        <v>0.24</v>
      </c>
      <c r="C28" s="5">
        <v>1.59</v>
      </c>
      <c r="D28" s="5">
        <v>4.75</v>
      </c>
      <c r="E28" s="5">
        <v>6.98</v>
      </c>
      <c r="F28" s="5">
        <v>11.43</v>
      </c>
      <c r="G28" s="5">
        <v>18.260000000000002</v>
      </c>
      <c r="H28" s="5">
        <v>17.54</v>
      </c>
    </row>
    <row r="29" spans="1:8" ht="14.25" customHeight="1" x14ac:dyDescent="0.35">
      <c r="A29" s="4" t="s">
        <v>458</v>
      </c>
      <c r="B29" s="14">
        <v>0.35</v>
      </c>
      <c r="C29" s="5">
        <v>1.99</v>
      </c>
      <c r="D29" s="5">
        <v>2.75</v>
      </c>
      <c r="E29" s="5">
        <v>3.53</v>
      </c>
      <c r="F29" s="5">
        <v>5.86</v>
      </c>
      <c r="G29" s="5">
        <v>18.41</v>
      </c>
      <c r="H29" s="5">
        <v>18.16</v>
      </c>
    </row>
    <row r="30" spans="1:8" ht="14.25" customHeight="1" x14ac:dyDescent="0.35">
      <c r="A30" s="4" t="s">
        <v>459</v>
      </c>
      <c r="B30" s="14">
        <v>-0.01</v>
      </c>
      <c r="C30" s="5">
        <v>3.21</v>
      </c>
      <c r="D30" s="5">
        <v>5.71</v>
      </c>
      <c r="E30" s="5">
        <v>6.77</v>
      </c>
      <c r="F30" s="5">
        <v>4.03</v>
      </c>
      <c r="G30" s="5">
        <v>10.75</v>
      </c>
      <c r="H30" s="5">
        <v>8.32</v>
      </c>
    </row>
    <row r="31" spans="1:8" ht="14.25" customHeight="1" x14ac:dyDescent="0.35">
      <c r="A31" s="4" t="s">
        <v>460</v>
      </c>
      <c r="B31" s="14">
        <v>-0.28000000000000003</v>
      </c>
      <c r="C31" s="5">
        <v>3.67</v>
      </c>
      <c r="D31" s="5">
        <v>6.5</v>
      </c>
      <c r="E31" s="5">
        <v>8.18</v>
      </c>
      <c r="F31" s="5">
        <v>11.99</v>
      </c>
      <c r="G31" s="5">
        <v>19.149999999999999</v>
      </c>
      <c r="H31" s="5">
        <v>13.51</v>
      </c>
    </row>
    <row r="32" spans="1:8" ht="14.25" customHeight="1" x14ac:dyDescent="0.35">
      <c r="A32" s="4" t="s">
        <v>461</v>
      </c>
      <c r="B32" s="14">
        <v>-0.36</v>
      </c>
      <c r="C32" s="5">
        <v>2.08</v>
      </c>
      <c r="D32" s="5">
        <v>7.72</v>
      </c>
      <c r="E32" s="5">
        <v>19.05</v>
      </c>
      <c r="F32" s="5">
        <v>19.38</v>
      </c>
      <c r="G32" s="5">
        <v>19.98</v>
      </c>
      <c r="H32" s="5">
        <v>13.47</v>
      </c>
    </row>
    <row r="33" spans="1:8" ht="14.25" customHeight="1" x14ac:dyDescent="0.35">
      <c r="A33" s="4" t="s">
        <v>462</v>
      </c>
      <c r="B33" s="14">
        <v>-0.53</v>
      </c>
      <c r="C33" s="5">
        <v>-2.4</v>
      </c>
      <c r="D33" s="5">
        <v>4.17</v>
      </c>
      <c r="E33" s="5">
        <v>-5.01</v>
      </c>
      <c r="F33" s="5">
        <v>2.2200000000000002</v>
      </c>
      <c r="G33" s="5">
        <v>6.08</v>
      </c>
      <c r="H33" s="5">
        <v>7.77</v>
      </c>
    </row>
    <row r="34" spans="1:8" ht="14.25" customHeight="1" x14ac:dyDescent="0.35">
      <c r="A34" s="4" t="s">
        <v>463</v>
      </c>
      <c r="B34" s="14">
        <v>-0.54</v>
      </c>
      <c r="C34" s="5">
        <v>5.19</v>
      </c>
      <c r="D34" s="5">
        <v>6.9</v>
      </c>
      <c r="E34" s="5">
        <v>-4.6399999999999997</v>
      </c>
      <c r="F34" s="5">
        <v>24.39</v>
      </c>
      <c r="G34" s="5">
        <v>24.52</v>
      </c>
      <c r="H34" s="5">
        <v>29.59</v>
      </c>
    </row>
    <row r="35" spans="1:8" ht="14.25" customHeight="1" x14ac:dyDescent="0.35">
      <c r="A35" s="4" t="s">
        <v>464</v>
      </c>
      <c r="B35" s="14">
        <v>1.0900000000000001</v>
      </c>
      <c r="C35" s="5">
        <v>-2.5</v>
      </c>
      <c r="D35" s="5">
        <v>16.3</v>
      </c>
      <c r="E35" s="5">
        <v>8.6999999999999993</v>
      </c>
      <c r="F35" s="5">
        <v>1.85</v>
      </c>
      <c r="G35" s="5">
        <v>19.27</v>
      </c>
      <c r="H35" s="5">
        <v>17.8</v>
      </c>
    </row>
    <row r="36" spans="1:8" ht="14.25" customHeight="1" x14ac:dyDescent="0.35">
      <c r="A36" s="4" t="s">
        <v>51</v>
      </c>
      <c r="B36" s="14">
        <v>-0.42</v>
      </c>
      <c r="C36" s="5">
        <v>1.69</v>
      </c>
      <c r="D36" s="5">
        <v>8.8699999999999992</v>
      </c>
      <c r="E36" s="5">
        <v>14.25</v>
      </c>
      <c r="F36" s="5">
        <v>9.74</v>
      </c>
      <c r="G36" s="5">
        <v>17.36</v>
      </c>
      <c r="H36" s="5">
        <v>15.56</v>
      </c>
    </row>
    <row r="37" spans="1:8" ht="14.25" customHeight="1" x14ac:dyDescent="0.35">
      <c r="A37" s="4" t="s">
        <v>465</v>
      </c>
      <c r="B37" s="14">
        <v>0.21</v>
      </c>
      <c r="C37" s="5">
        <v>2.63</v>
      </c>
      <c r="D37" s="5">
        <v>8.02</v>
      </c>
      <c r="E37" s="5">
        <v>14.72</v>
      </c>
      <c r="F37" s="5">
        <v>8.91</v>
      </c>
      <c r="G37" s="5">
        <v>12.58</v>
      </c>
      <c r="H37" s="5">
        <v>12.2</v>
      </c>
    </row>
  </sheetData>
  <conditionalFormatting sqref="B2:B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1"/>
  <sheetViews>
    <sheetView zoomScale="70" zoomScaleNormal="70" workbookViewId="0">
      <selection activeCell="I27" sqref="I27"/>
    </sheetView>
  </sheetViews>
  <sheetFormatPr defaultColWidth="8.54296875" defaultRowHeight="14.5" x14ac:dyDescent="0.35"/>
  <cols>
    <col min="1" max="1" width="54.6328125" customWidth="1"/>
    <col min="2" max="2" width="7.1796875" customWidth="1"/>
    <col min="3" max="3" width="7.6328125" customWidth="1"/>
    <col min="6" max="6" width="6.81640625" customWidth="1"/>
    <col min="7" max="7" width="7.1796875" customWidth="1"/>
    <col min="8" max="8" width="7" customWidth="1"/>
    <col min="9" max="9" width="14.26953125" customWidth="1"/>
    <col min="10" max="10" width="4" customWidth="1"/>
    <col min="11" max="11" width="13.08984375" customWidth="1"/>
    <col min="12" max="12" width="3.90625" customWidth="1"/>
    <col min="13" max="13" width="6.26953125" customWidth="1"/>
    <col min="14" max="14" width="7.3632812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466</v>
      </c>
      <c r="B3" s="18">
        <v>-0.13</v>
      </c>
      <c r="C3" s="18">
        <v>3.55</v>
      </c>
      <c r="D3" s="18">
        <v>6.39</v>
      </c>
      <c r="E3" s="18">
        <v>0.43</v>
      </c>
      <c r="F3" s="18">
        <v>-0.12</v>
      </c>
      <c r="G3" s="18">
        <v>11.22</v>
      </c>
      <c r="H3" s="18">
        <v>11.92</v>
      </c>
      <c r="I3" s="18">
        <v>16.059999999999999</v>
      </c>
      <c r="J3" s="19"/>
      <c r="K3" s="20">
        <v>5989.79</v>
      </c>
      <c r="L3" s="19"/>
      <c r="M3" s="18">
        <v>0.78</v>
      </c>
      <c r="N3" s="18">
        <v>1.83</v>
      </c>
    </row>
    <row r="4" spans="1:14" ht="14.25" customHeight="1" x14ac:dyDescent="0.35">
      <c r="A4" s="17" t="s">
        <v>467</v>
      </c>
      <c r="B4" s="18">
        <v>-0.2</v>
      </c>
      <c r="C4" s="18">
        <v>5.13</v>
      </c>
      <c r="D4" s="18">
        <v>8.74</v>
      </c>
      <c r="E4" s="18">
        <v>3.24</v>
      </c>
      <c r="F4" s="18">
        <v>2.5</v>
      </c>
      <c r="G4" s="18" t="s">
        <v>13</v>
      </c>
      <c r="H4" s="18" t="s">
        <v>13</v>
      </c>
      <c r="I4" s="18">
        <v>-0.89</v>
      </c>
      <c r="J4" s="19"/>
      <c r="K4" s="20">
        <v>2750.01</v>
      </c>
      <c r="L4" s="19"/>
      <c r="M4" s="18">
        <v>0.66</v>
      </c>
      <c r="N4" s="18">
        <v>1.97</v>
      </c>
    </row>
    <row r="5" spans="1:14" ht="14.25" customHeight="1" x14ac:dyDescent="0.35">
      <c r="A5" s="17" t="s">
        <v>468</v>
      </c>
      <c r="B5" s="18">
        <v>-0.33</v>
      </c>
      <c r="C5" s="18">
        <v>2.58</v>
      </c>
      <c r="D5" s="18">
        <v>8.34</v>
      </c>
      <c r="E5" s="18">
        <v>6.11</v>
      </c>
      <c r="F5" s="18">
        <v>1.82</v>
      </c>
      <c r="G5" s="18" t="s">
        <v>13</v>
      </c>
      <c r="H5" s="18" t="s">
        <v>13</v>
      </c>
      <c r="I5" s="18">
        <v>-1.8</v>
      </c>
      <c r="J5" s="19"/>
      <c r="K5" s="20">
        <v>608.45000000000005</v>
      </c>
      <c r="L5" s="19"/>
      <c r="M5" s="18">
        <v>0.74</v>
      </c>
      <c r="N5" s="18">
        <v>2.37</v>
      </c>
    </row>
    <row r="6" spans="1:14" ht="14.25" customHeight="1" x14ac:dyDescent="0.35">
      <c r="A6" s="17" t="s">
        <v>469</v>
      </c>
      <c r="B6" s="18">
        <v>0.61</v>
      </c>
      <c r="C6" s="18">
        <v>4.4000000000000004</v>
      </c>
      <c r="D6" s="18">
        <v>9.82</v>
      </c>
      <c r="E6" s="18">
        <v>7.15</v>
      </c>
      <c r="F6" s="18">
        <v>8.2899999999999991</v>
      </c>
      <c r="G6" s="18" t="s">
        <v>13</v>
      </c>
      <c r="H6" s="18" t="s">
        <v>13</v>
      </c>
      <c r="I6" s="18">
        <v>9.59</v>
      </c>
      <c r="J6" s="19"/>
      <c r="K6" s="20">
        <v>360.83</v>
      </c>
      <c r="L6" s="19"/>
      <c r="M6" s="18">
        <v>1.08</v>
      </c>
      <c r="N6" s="18">
        <v>2.2999999999999998</v>
      </c>
    </row>
    <row r="7" spans="1:14" ht="14.25" customHeight="1" x14ac:dyDescent="0.35">
      <c r="A7" s="17" t="s">
        <v>470</v>
      </c>
      <c r="B7" s="18">
        <v>-0.22</v>
      </c>
      <c r="C7" s="18">
        <v>4.95</v>
      </c>
      <c r="D7" s="18">
        <v>7.39</v>
      </c>
      <c r="E7" s="18">
        <v>2.08</v>
      </c>
      <c r="F7" s="18">
        <v>2.5099999999999998</v>
      </c>
      <c r="G7" s="18">
        <v>12.55</v>
      </c>
      <c r="H7" s="18">
        <v>12.95</v>
      </c>
      <c r="I7" s="18">
        <v>17.190000000000001</v>
      </c>
      <c r="J7" s="19"/>
      <c r="K7" s="20">
        <v>1413.2</v>
      </c>
      <c r="L7" s="19"/>
      <c r="M7" s="18">
        <v>0.65</v>
      </c>
      <c r="N7" s="18">
        <v>2.09</v>
      </c>
    </row>
    <row r="8" spans="1:14" ht="14.25" customHeight="1" x14ac:dyDescent="0.35">
      <c r="A8" s="17" t="s">
        <v>471</v>
      </c>
      <c r="B8" s="18">
        <v>0.2</v>
      </c>
      <c r="C8" s="18">
        <v>4.1100000000000003</v>
      </c>
      <c r="D8" s="18">
        <v>8.26</v>
      </c>
      <c r="E8" s="18">
        <v>2.4500000000000002</v>
      </c>
      <c r="F8" s="18">
        <v>1.91</v>
      </c>
      <c r="G8" s="18">
        <v>13.48</v>
      </c>
      <c r="H8" s="18">
        <v>13.61</v>
      </c>
      <c r="I8" s="18">
        <v>16.21</v>
      </c>
      <c r="J8" s="19"/>
      <c r="K8" s="20">
        <v>1932.42</v>
      </c>
      <c r="L8" s="19"/>
      <c r="M8" s="18">
        <v>0.87</v>
      </c>
      <c r="N8" s="18">
        <v>2.1</v>
      </c>
    </row>
    <row r="9" spans="1:14" ht="14.25" customHeight="1" x14ac:dyDescent="0.35">
      <c r="A9" s="17" t="s">
        <v>472</v>
      </c>
      <c r="B9" s="18">
        <v>-0.14000000000000001</v>
      </c>
      <c r="C9" s="18">
        <v>4.32</v>
      </c>
      <c r="D9" s="18">
        <v>7.11</v>
      </c>
      <c r="E9" s="18">
        <v>3.82</v>
      </c>
      <c r="F9" s="18">
        <v>5.29</v>
      </c>
      <c r="G9" s="18" t="s">
        <v>13</v>
      </c>
      <c r="H9" s="18" t="s">
        <v>13</v>
      </c>
      <c r="I9" s="18">
        <v>11.06</v>
      </c>
      <c r="J9" s="19"/>
      <c r="K9" s="20">
        <v>483.35</v>
      </c>
      <c r="L9" s="19"/>
      <c r="M9" s="18">
        <v>0.75</v>
      </c>
      <c r="N9" s="18">
        <v>2.4</v>
      </c>
    </row>
    <row r="10" spans="1:14" ht="14.25" customHeight="1" x14ac:dyDescent="0.35">
      <c r="A10" s="17" t="s">
        <v>473</v>
      </c>
      <c r="B10" s="18">
        <v>0.47</v>
      </c>
      <c r="C10" s="18">
        <v>5.38</v>
      </c>
      <c r="D10" s="18">
        <v>10.84</v>
      </c>
      <c r="E10" s="18">
        <v>9.6300000000000008</v>
      </c>
      <c r="F10" s="18">
        <v>7.55</v>
      </c>
      <c r="G10" s="18" t="s">
        <v>13</v>
      </c>
      <c r="H10" s="18" t="s">
        <v>13</v>
      </c>
      <c r="I10" s="18">
        <v>17.47</v>
      </c>
      <c r="J10" s="19"/>
      <c r="K10" s="20">
        <v>1703</v>
      </c>
      <c r="L10" s="19"/>
      <c r="M10" s="18">
        <v>1.03</v>
      </c>
      <c r="N10" s="18">
        <v>2.15</v>
      </c>
    </row>
    <row r="11" spans="1:14" ht="14.25" customHeight="1" x14ac:dyDescent="0.35">
      <c r="A11" s="17" t="s">
        <v>474</v>
      </c>
      <c r="B11" s="18">
        <v>-0.56999999999999995</v>
      </c>
      <c r="C11" s="18">
        <v>5.17</v>
      </c>
      <c r="D11" s="18">
        <v>7.72</v>
      </c>
      <c r="E11" s="18">
        <v>4.8600000000000003</v>
      </c>
      <c r="F11" s="18">
        <v>3.68</v>
      </c>
      <c r="G11" s="18">
        <v>12.93</v>
      </c>
      <c r="H11" s="18">
        <v>15.67</v>
      </c>
      <c r="I11" s="18">
        <v>14.99</v>
      </c>
      <c r="J11" s="19"/>
      <c r="K11" s="20">
        <v>3150.45</v>
      </c>
      <c r="L11" s="19"/>
      <c r="M11" s="18">
        <v>1.1399999999999999</v>
      </c>
      <c r="N11" s="18">
        <v>2.04</v>
      </c>
    </row>
    <row r="12" spans="1:14" ht="14.25" customHeight="1" x14ac:dyDescent="0.35">
      <c r="A12" s="17" t="s">
        <v>475</v>
      </c>
      <c r="B12" s="18">
        <v>-1.39</v>
      </c>
      <c r="C12" s="18">
        <v>0.48</v>
      </c>
      <c r="D12" s="18">
        <v>-2.92</v>
      </c>
      <c r="E12" s="18">
        <v>-4.71</v>
      </c>
      <c r="F12" s="18">
        <v>-11.11</v>
      </c>
      <c r="G12" s="18">
        <v>-1.17</v>
      </c>
      <c r="H12" s="18">
        <v>7.59</v>
      </c>
      <c r="I12" s="18">
        <v>11.32</v>
      </c>
      <c r="J12" s="19"/>
      <c r="K12" s="20">
        <v>1590.67</v>
      </c>
      <c r="L12" s="19"/>
      <c r="M12" s="18">
        <v>1.38</v>
      </c>
      <c r="N12" s="18">
        <v>2.21</v>
      </c>
    </row>
    <row r="13" spans="1:14" ht="14.25" customHeight="1" x14ac:dyDescent="0.35">
      <c r="A13" s="17" t="s">
        <v>476</v>
      </c>
      <c r="B13" s="18">
        <v>0.18</v>
      </c>
      <c r="C13" s="18">
        <v>5.65</v>
      </c>
      <c r="D13" s="18">
        <v>10.89</v>
      </c>
      <c r="E13" s="18">
        <v>8.2200000000000006</v>
      </c>
      <c r="F13" s="18">
        <v>8.43</v>
      </c>
      <c r="G13" s="18" t="s">
        <v>13</v>
      </c>
      <c r="H13" s="18" t="s">
        <v>13</v>
      </c>
      <c r="I13" s="18">
        <v>15.19</v>
      </c>
      <c r="J13" s="19"/>
      <c r="K13" s="20">
        <v>357.39</v>
      </c>
      <c r="L13" s="19"/>
      <c r="M13" s="18">
        <v>0.77</v>
      </c>
      <c r="N13" s="18">
        <v>2.41</v>
      </c>
    </row>
    <row r="14" spans="1:14" ht="14.25" customHeight="1" x14ac:dyDescent="0.35">
      <c r="A14" s="17" t="s">
        <v>477</v>
      </c>
      <c r="B14" s="18">
        <v>-0.54</v>
      </c>
      <c r="C14" s="18">
        <v>3.69</v>
      </c>
      <c r="D14" s="18">
        <v>13.47</v>
      </c>
      <c r="E14" s="18">
        <v>13.99</v>
      </c>
      <c r="F14" s="18" t="s">
        <v>13</v>
      </c>
      <c r="G14" s="18" t="s">
        <v>13</v>
      </c>
      <c r="H14" s="18" t="s">
        <v>13</v>
      </c>
      <c r="I14" s="18">
        <v>9.5</v>
      </c>
      <c r="J14" s="19"/>
      <c r="K14" s="20">
        <v>565.28</v>
      </c>
      <c r="L14" s="19"/>
      <c r="M14" s="18">
        <v>0.73</v>
      </c>
      <c r="N14" s="18">
        <v>2.37</v>
      </c>
    </row>
    <row r="15" spans="1:14" ht="14.25" customHeight="1" x14ac:dyDescent="0.35">
      <c r="A15" s="17" t="s">
        <v>478</v>
      </c>
      <c r="B15" s="18">
        <v>-0.83</v>
      </c>
      <c r="C15" s="18">
        <v>3.26</v>
      </c>
      <c r="D15" s="18">
        <v>8.61</v>
      </c>
      <c r="E15" s="18">
        <v>5.36</v>
      </c>
      <c r="F15" s="18">
        <v>6.85</v>
      </c>
      <c r="G15" s="18" t="s">
        <v>13</v>
      </c>
      <c r="H15" s="18" t="s">
        <v>13</v>
      </c>
      <c r="I15" s="18">
        <v>16.12</v>
      </c>
      <c r="J15" s="19"/>
      <c r="K15" s="20">
        <v>1711.26</v>
      </c>
      <c r="L15" s="19"/>
      <c r="M15" s="18">
        <v>0.56999999999999995</v>
      </c>
      <c r="N15" s="18">
        <v>2.0699999999999998</v>
      </c>
    </row>
    <row r="16" spans="1:14" ht="14.25" customHeight="1" x14ac:dyDescent="0.35">
      <c r="A16" s="17" t="s">
        <v>479</v>
      </c>
      <c r="B16" s="18">
        <v>-0.3</v>
      </c>
      <c r="C16" s="18">
        <v>2.66</v>
      </c>
      <c r="D16" s="18">
        <v>5.97</v>
      </c>
      <c r="E16" s="18">
        <v>3.5</v>
      </c>
      <c r="F16" s="18" t="s">
        <v>13</v>
      </c>
      <c r="G16" s="18" t="s">
        <v>13</v>
      </c>
      <c r="H16" s="18" t="s">
        <v>13</v>
      </c>
      <c r="I16" s="18">
        <v>0.45</v>
      </c>
      <c r="J16" s="19"/>
      <c r="K16" s="20">
        <v>476.09</v>
      </c>
      <c r="L16" s="19"/>
      <c r="M16" s="18">
        <v>1.56</v>
      </c>
      <c r="N16" s="18">
        <v>2.5099999999999998</v>
      </c>
    </row>
    <row r="17" spans="1:14" ht="14.25" customHeight="1" x14ac:dyDescent="0.35">
      <c r="A17" s="17" t="s">
        <v>480</v>
      </c>
      <c r="B17" s="18">
        <v>0.66</v>
      </c>
      <c r="C17" s="18">
        <v>5.1100000000000003</v>
      </c>
      <c r="D17" s="18">
        <v>7.77</v>
      </c>
      <c r="E17" s="18">
        <v>3.04</v>
      </c>
      <c r="F17" s="18">
        <v>3.13</v>
      </c>
      <c r="G17" s="18">
        <v>12.76</v>
      </c>
      <c r="H17" s="18">
        <v>13.06</v>
      </c>
      <c r="I17" s="18">
        <v>13</v>
      </c>
      <c r="J17" s="19"/>
      <c r="K17" s="20">
        <v>494</v>
      </c>
      <c r="L17" s="19"/>
      <c r="M17" s="18">
        <v>0.78</v>
      </c>
      <c r="N17" s="18">
        <v>2.41</v>
      </c>
    </row>
    <row r="18" spans="1:14" ht="14.25" customHeight="1" x14ac:dyDescent="0.35">
      <c r="A18" s="17" t="s">
        <v>481</v>
      </c>
      <c r="B18" s="18">
        <v>0.08</v>
      </c>
      <c r="C18" s="18">
        <v>5.83</v>
      </c>
      <c r="D18" s="18">
        <v>10.54</v>
      </c>
      <c r="E18" s="18">
        <v>5.68</v>
      </c>
      <c r="F18" s="18">
        <v>4.46</v>
      </c>
      <c r="G18" s="18">
        <v>13.98</v>
      </c>
      <c r="H18" s="18">
        <v>15.18</v>
      </c>
      <c r="I18" s="18">
        <v>17.11</v>
      </c>
      <c r="J18" s="19"/>
      <c r="K18" s="20">
        <v>4550.04</v>
      </c>
      <c r="L18" s="19"/>
      <c r="M18" s="18">
        <v>0.44</v>
      </c>
      <c r="N18" s="18">
        <v>1.85</v>
      </c>
    </row>
    <row r="19" spans="1:14" ht="14.25" customHeight="1" x14ac:dyDescent="0.35">
      <c r="A19" s="17" t="s">
        <v>482</v>
      </c>
      <c r="B19" s="18">
        <v>1.34</v>
      </c>
      <c r="C19" s="18">
        <v>8.2200000000000006</v>
      </c>
      <c r="D19" s="18">
        <v>22.13</v>
      </c>
      <c r="E19" s="18">
        <v>23.41</v>
      </c>
      <c r="F19" s="18" t="s">
        <v>13</v>
      </c>
      <c r="G19" s="18" t="s">
        <v>13</v>
      </c>
      <c r="H19" s="18" t="s">
        <v>13</v>
      </c>
      <c r="I19" s="18">
        <v>13.28</v>
      </c>
      <c r="J19" s="19"/>
      <c r="K19" s="20">
        <v>1057.6400000000001</v>
      </c>
      <c r="L19" s="19"/>
      <c r="M19" s="18">
        <v>0.56000000000000005</v>
      </c>
      <c r="N19" s="18">
        <v>2.2200000000000002</v>
      </c>
    </row>
    <row r="20" spans="1:14" ht="14.25" customHeight="1" x14ac:dyDescent="0.35">
      <c r="A20" s="17" t="s">
        <v>483</v>
      </c>
      <c r="B20" s="18">
        <v>-0.38</v>
      </c>
      <c r="C20" s="18">
        <v>5.9</v>
      </c>
      <c r="D20" s="18">
        <v>9.35</v>
      </c>
      <c r="E20" s="18">
        <v>5.65</v>
      </c>
      <c r="F20" s="18">
        <v>2.1800000000000002</v>
      </c>
      <c r="G20" s="18">
        <v>12.67</v>
      </c>
      <c r="H20" s="18">
        <v>15.13</v>
      </c>
      <c r="I20" s="18">
        <v>13.78</v>
      </c>
      <c r="J20" s="19"/>
      <c r="K20" s="20">
        <v>2422.04</v>
      </c>
      <c r="L20" s="19"/>
      <c r="M20" s="18">
        <v>0.69</v>
      </c>
      <c r="N20" s="18">
        <v>2.0299999999999998</v>
      </c>
    </row>
    <row r="21" spans="1:14" ht="14.25" customHeight="1" x14ac:dyDescent="0.35">
      <c r="A21" s="17" t="s">
        <v>484</v>
      </c>
      <c r="B21" s="18">
        <v>0.57999999999999996</v>
      </c>
      <c r="C21" s="18">
        <v>-0.91</v>
      </c>
      <c r="D21" s="18">
        <v>7.03</v>
      </c>
      <c r="E21" s="18">
        <v>11.77</v>
      </c>
      <c r="F21" s="18">
        <v>6.21</v>
      </c>
      <c r="G21" s="18" t="s">
        <v>13</v>
      </c>
      <c r="H21" s="18" t="s">
        <v>13</v>
      </c>
      <c r="I21" s="18">
        <v>2.13</v>
      </c>
      <c r="J21" s="19"/>
      <c r="K21" s="20">
        <v>201.35</v>
      </c>
      <c r="L21" s="19"/>
      <c r="M21" s="18">
        <v>0.89</v>
      </c>
      <c r="N21" s="18">
        <v>2.4300000000000002</v>
      </c>
    </row>
    <row r="22" spans="1:14" ht="14.25" customHeight="1" x14ac:dyDescent="0.35">
      <c r="A22" s="17" t="s">
        <v>485</v>
      </c>
      <c r="B22" s="18">
        <v>-0.7</v>
      </c>
      <c r="C22" s="18">
        <v>3.14</v>
      </c>
      <c r="D22" s="18">
        <v>3.3</v>
      </c>
      <c r="E22" s="18">
        <v>-0.11</v>
      </c>
      <c r="F22" s="18">
        <v>-2.2799999999999998</v>
      </c>
      <c r="G22" s="18">
        <v>8.3000000000000007</v>
      </c>
      <c r="H22" s="18">
        <v>14.31</v>
      </c>
      <c r="I22" s="18">
        <v>14.98</v>
      </c>
      <c r="J22" s="19"/>
      <c r="K22" s="20">
        <v>2906.21</v>
      </c>
      <c r="L22" s="19"/>
      <c r="M22" s="18">
        <v>0.95</v>
      </c>
      <c r="N22" s="18">
        <v>2.0099999999999998</v>
      </c>
    </row>
    <row r="23" spans="1:14" ht="14.25" customHeight="1" x14ac:dyDescent="0.35">
      <c r="A23" s="17" t="s">
        <v>486</v>
      </c>
      <c r="B23" s="18">
        <v>0.61</v>
      </c>
      <c r="C23" s="18">
        <v>7.64</v>
      </c>
      <c r="D23" s="18">
        <v>11.02</v>
      </c>
      <c r="E23" s="18">
        <v>5.93</v>
      </c>
      <c r="F23" s="18">
        <v>2.2000000000000002</v>
      </c>
      <c r="G23" s="18">
        <v>12.45</v>
      </c>
      <c r="H23" s="18">
        <v>13.47</v>
      </c>
      <c r="I23" s="18">
        <v>14.36</v>
      </c>
      <c r="J23" s="19"/>
      <c r="K23" s="20">
        <v>1422.23</v>
      </c>
      <c r="L23" s="19"/>
      <c r="M23" s="18">
        <v>1.23</v>
      </c>
      <c r="N23" s="18">
        <v>2.2000000000000002</v>
      </c>
    </row>
    <row r="24" spans="1:14" ht="14.25" customHeight="1" x14ac:dyDescent="0.35">
      <c r="A24" s="17" t="s">
        <v>487</v>
      </c>
      <c r="B24" s="18">
        <v>0.65</v>
      </c>
      <c r="C24" s="18">
        <v>5.2</v>
      </c>
      <c r="D24" s="18">
        <v>10.77</v>
      </c>
      <c r="E24" s="18">
        <v>13.8</v>
      </c>
      <c r="F24" s="18">
        <v>10.8</v>
      </c>
      <c r="G24" s="18">
        <v>17.059999999999999</v>
      </c>
      <c r="H24" s="18">
        <v>16.16</v>
      </c>
      <c r="I24" s="18">
        <v>17.72</v>
      </c>
      <c r="J24" s="19"/>
      <c r="K24" s="20">
        <v>2703.34</v>
      </c>
      <c r="L24" s="19"/>
      <c r="M24" s="18">
        <v>0.8</v>
      </c>
      <c r="N24" s="18">
        <v>2.04</v>
      </c>
    </row>
    <row r="25" spans="1:14" ht="14.25" customHeight="1" x14ac:dyDescent="0.35">
      <c r="A25" s="17" t="s">
        <v>488</v>
      </c>
      <c r="B25" s="18">
        <v>0.24</v>
      </c>
      <c r="C25" s="18">
        <v>5.8</v>
      </c>
      <c r="D25" s="18">
        <v>9.68</v>
      </c>
      <c r="E25" s="18">
        <v>4.99</v>
      </c>
      <c r="F25" s="18">
        <v>6.34</v>
      </c>
      <c r="G25" s="18">
        <v>13.45</v>
      </c>
      <c r="H25" s="18">
        <v>11.39</v>
      </c>
      <c r="I25" s="18">
        <v>11.93</v>
      </c>
      <c r="J25" s="19"/>
      <c r="K25" s="20">
        <v>688.68</v>
      </c>
      <c r="L25" s="19"/>
      <c r="M25" s="18">
        <v>1.61</v>
      </c>
      <c r="N25" s="18">
        <v>2.4700000000000002</v>
      </c>
    </row>
    <row r="26" spans="1:14" ht="14.25" customHeight="1" x14ac:dyDescent="0.35">
      <c r="A26" s="17" t="s">
        <v>489</v>
      </c>
      <c r="B26" s="18">
        <v>0.6</v>
      </c>
      <c r="C26" s="18">
        <v>3.93</v>
      </c>
      <c r="D26" s="18">
        <v>9.59</v>
      </c>
      <c r="E26" s="18">
        <v>5.64</v>
      </c>
      <c r="F26" s="18" t="s">
        <v>13</v>
      </c>
      <c r="G26" s="18" t="s">
        <v>13</v>
      </c>
      <c r="H26" s="18" t="s">
        <v>13</v>
      </c>
      <c r="I26" s="18">
        <v>0.6</v>
      </c>
      <c r="J26" s="19"/>
      <c r="K26" s="20">
        <v>328.62</v>
      </c>
      <c r="L26" s="19"/>
      <c r="M26" s="18">
        <v>0.95</v>
      </c>
      <c r="N26" s="18">
        <v>2.4300000000000002</v>
      </c>
    </row>
    <row r="27" spans="1:14" ht="14.25" customHeight="1" x14ac:dyDescent="0.35">
      <c r="A27" s="17" t="s">
        <v>490</v>
      </c>
      <c r="B27" s="18">
        <v>-0.42</v>
      </c>
      <c r="C27" s="18">
        <v>3.76</v>
      </c>
      <c r="D27" s="18">
        <v>9.93</v>
      </c>
      <c r="E27" s="18">
        <v>8.11</v>
      </c>
      <c r="F27" s="18" t="s">
        <v>13</v>
      </c>
      <c r="G27" s="18" t="s">
        <v>13</v>
      </c>
      <c r="H27" s="18" t="s">
        <v>13</v>
      </c>
      <c r="I27" s="18">
        <v>5.95</v>
      </c>
      <c r="J27" s="19"/>
      <c r="K27" s="20">
        <v>113.47</v>
      </c>
      <c r="L27" s="19"/>
      <c r="M27" s="18">
        <v>0.71</v>
      </c>
      <c r="N27" s="18">
        <v>2.36</v>
      </c>
    </row>
    <row r="28" spans="1:14" ht="14.25" customHeight="1" x14ac:dyDescent="0.35">
      <c r="A28" s="21" t="s">
        <v>49</v>
      </c>
      <c r="B28" s="22">
        <f t="shared" ref="B28:I28" si="0">MEDIAN(B3:B27)</f>
        <v>-0.13</v>
      </c>
      <c r="C28" s="22">
        <f t="shared" si="0"/>
        <v>4.4000000000000004</v>
      </c>
      <c r="D28" s="22">
        <f t="shared" si="0"/>
        <v>8.74</v>
      </c>
      <c r="E28" s="22">
        <f t="shared" si="0"/>
        <v>5.64</v>
      </c>
      <c r="F28" s="22">
        <f t="shared" si="0"/>
        <v>3.4050000000000002</v>
      </c>
      <c r="G28" s="22">
        <f t="shared" si="0"/>
        <v>12.715</v>
      </c>
      <c r="H28" s="22">
        <f t="shared" si="0"/>
        <v>13.54</v>
      </c>
      <c r="I28" s="22">
        <f t="shared" si="0"/>
        <v>13.28</v>
      </c>
    </row>
    <row r="29" spans="1:14" x14ac:dyDescent="0.35">
      <c r="A29" s="2" t="s">
        <v>50</v>
      </c>
      <c r="B29" s="5" t="s">
        <v>13</v>
      </c>
      <c r="C29" s="5" t="s">
        <v>13</v>
      </c>
      <c r="D29" s="5" t="s">
        <v>13</v>
      </c>
      <c r="E29" s="5" t="s">
        <v>13</v>
      </c>
      <c r="F29" s="5" t="s">
        <v>13</v>
      </c>
      <c r="G29" s="5" t="s">
        <v>13</v>
      </c>
      <c r="H29" s="5" t="s">
        <v>13</v>
      </c>
      <c r="I29" s="5" t="s">
        <v>13</v>
      </c>
    </row>
    <row r="30" spans="1:14" ht="14.25" customHeight="1" x14ac:dyDescent="0.35">
      <c r="A30" s="23" t="s">
        <v>129</v>
      </c>
      <c r="B30" s="24">
        <f>'BenchMark Returns'!B10</f>
        <v>-0.48</v>
      </c>
      <c r="C30" s="24">
        <f>'BenchMark Returns'!C10</f>
        <v>1.92</v>
      </c>
      <c r="D30" s="24">
        <f>'BenchMark Returns'!D10</f>
        <v>4.93</v>
      </c>
      <c r="E30" s="24">
        <f>'BenchMark Returns'!E10</f>
        <v>1.85</v>
      </c>
      <c r="F30" s="24">
        <f>'BenchMark Returns'!F10</f>
        <v>4.99</v>
      </c>
      <c r="G30" s="24">
        <f>'BenchMark Returns'!G10</f>
        <v>13</v>
      </c>
      <c r="H30" s="24">
        <f>'BenchMark Returns'!H10</f>
        <v>12.02</v>
      </c>
    </row>
    <row r="31" spans="1:14" ht="14.25" customHeight="1" x14ac:dyDescent="0.35">
      <c r="A31" s="23" t="s">
        <v>450</v>
      </c>
      <c r="B31" s="25">
        <f>'BenchMark Returns'!B19</f>
        <v>-0.45</v>
      </c>
      <c r="C31" s="25">
        <f>'BenchMark Returns'!C19</f>
        <v>4.58</v>
      </c>
      <c r="D31" s="25">
        <f>'BenchMark Returns'!D19</f>
        <v>6.64</v>
      </c>
      <c r="E31" s="25">
        <f>'BenchMark Returns'!E19</f>
        <v>3.05</v>
      </c>
      <c r="F31" s="25">
        <f>'BenchMark Returns'!F19</f>
        <v>2.56</v>
      </c>
      <c r="G31" s="25">
        <f>'BenchMark Returns'!G19</f>
        <v>13.86</v>
      </c>
      <c r="H31" s="25">
        <f>'BenchMark Returns'!H19</f>
        <v>13.16</v>
      </c>
    </row>
  </sheetData>
  <mergeCells count="1">
    <mergeCell ref="M1:N1"/>
  </mergeCells>
  <conditionalFormatting sqref="F3:F27">
    <cfRule type="expression" dxfId="35" priority="2">
      <formula>AND(ISNUMBER(F3),F3&gt;MEDIAN($F$3:$F$27))</formula>
    </cfRule>
  </conditionalFormatting>
  <conditionalFormatting sqref="G3:G27">
    <cfRule type="expression" dxfId="34" priority="3">
      <formula>AND(ISNUMBER(G3),G3&gt;MEDIAN($G$3:$G$27))</formula>
    </cfRule>
  </conditionalFormatting>
  <conditionalFormatting sqref="H3:H27">
    <cfRule type="expression" dxfId="33" priority="4">
      <formula>AND(ISNUMBER(H3),H3&gt;MEDIAN($H$3:$H$27))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4"/>
  <sheetViews>
    <sheetView topLeftCell="A10" zoomScale="70" zoomScaleNormal="70" workbookViewId="0">
      <selection activeCell="H32" sqref="H32"/>
    </sheetView>
  </sheetViews>
  <sheetFormatPr defaultColWidth="8.54296875" defaultRowHeight="14.5" x14ac:dyDescent="0.35"/>
  <cols>
    <col min="1" max="1" width="57.72656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54296875" customWidth="1"/>
    <col min="11" max="11" width="12.90625" customWidth="1"/>
    <col min="12" max="12" width="3.453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491</v>
      </c>
      <c r="B3" s="18">
        <v>-0.18</v>
      </c>
      <c r="C3" s="18">
        <v>-0.51</v>
      </c>
      <c r="D3" s="18">
        <v>5.33</v>
      </c>
      <c r="E3" s="18">
        <v>-1.47</v>
      </c>
      <c r="F3" s="18">
        <v>6.9</v>
      </c>
      <c r="G3" s="18">
        <v>12.01</v>
      </c>
      <c r="H3" s="18">
        <v>12.15</v>
      </c>
      <c r="I3" s="18">
        <v>16.82</v>
      </c>
      <c r="J3" s="19"/>
      <c r="K3" s="20">
        <v>3675.7</v>
      </c>
      <c r="L3" s="19"/>
      <c r="M3" s="18">
        <v>1</v>
      </c>
      <c r="N3" s="18">
        <v>1.96</v>
      </c>
    </row>
    <row r="4" spans="1:14" ht="14.25" customHeight="1" x14ac:dyDescent="0.35">
      <c r="A4" s="17" t="s">
        <v>492</v>
      </c>
      <c r="B4" s="18">
        <v>-0.98</v>
      </c>
      <c r="C4" s="18">
        <v>-0.61</v>
      </c>
      <c r="D4" s="18">
        <v>6.21</v>
      </c>
      <c r="E4" s="18">
        <v>-1.27</v>
      </c>
      <c r="F4" s="18" t="s">
        <v>13</v>
      </c>
      <c r="G4" s="18" t="s">
        <v>13</v>
      </c>
      <c r="H4" s="18" t="s">
        <v>13</v>
      </c>
      <c r="I4" s="18">
        <v>0.35</v>
      </c>
      <c r="J4" s="19"/>
      <c r="K4" s="20">
        <v>463.88</v>
      </c>
      <c r="L4" s="19"/>
      <c r="M4" s="18">
        <v>0.66</v>
      </c>
      <c r="N4" s="18">
        <v>2.36</v>
      </c>
    </row>
    <row r="5" spans="1:14" ht="14.25" customHeight="1" x14ac:dyDescent="0.35">
      <c r="A5" s="17" t="s">
        <v>493</v>
      </c>
      <c r="B5" s="18">
        <v>0.16</v>
      </c>
      <c r="C5" s="18">
        <v>-0.63</v>
      </c>
      <c r="D5" s="18">
        <v>6.25</v>
      </c>
      <c r="E5" s="18">
        <v>-0.44</v>
      </c>
      <c r="F5" s="18">
        <v>5.52</v>
      </c>
      <c r="G5" s="18">
        <v>17.079999999999998</v>
      </c>
      <c r="H5" s="18" t="s">
        <v>13</v>
      </c>
      <c r="I5" s="18">
        <v>16.190000000000001</v>
      </c>
      <c r="J5" s="19"/>
      <c r="K5" s="20">
        <v>1107.29</v>
      </c>
      <c r="L5" s="19"/>
      <c r="M5" s="18">
        <v>0.7</v>
      </c>
      <c r="N5" s="18">
        <v>2.23</v>
      </c>
    </row>
    <row r="6" spans="1:14" ht="14.25" customHeight="1" x14ac:dyDescent="0.35">
      <c r="A6" s="17" t="s">
        <v>494</v>
      </c>
      <c r="B6" s="18">
        <v>0.1</v>
      </c>
      <c r="C6" s="18">
        <v>-0.6</v>
      </c>
      <c r="D6" s="18">
        <v>3.24</v>
      </c>
      <c r="E6" s="18">
        <v>-2.93</v>
      </c>
      <c r="F6" s="18" t="s">
        <v>13</v>
      </c>
      <c r="G6" s="18" t="s">
        <v>13</v>
      </c>
      <c r="H6" s="18" t="s">
        <v>13</v>
      </c>
      <c r="I6" s="18">
        <v>-1.3</v>
      </c>
      <c r="J6" s="19"/>
      <c r="K6" s="20">
        <v>282.25</v>
      </c>
      <c r="L6" s="19"/>
      <c r="M6" s="18">
        <v>1.1299999999999999</v>
      </c>
      <c r="N6" s="18">
        <v>2.2999999999999998</v>
      </c>
    </row>
    <row r="7" spans="1:14" ht="14.25" customHeight="1" x14ac:dyDescent="0.35">
      <c r="A7" s="17" t="s">
        <v>495</v>
      </c>
      <c r="B7" s="18">
        <v>0.35</v>
      </c>
      <c r="C7" s="18">
        <v>1.49</v>
      </c>
      <c r="D7" s="18">
        <v>7.46</v>
      </c>
      <c r="E7" s="18">
        <v>-0.01</v>
      </c>
      <c r="F7" s="18">
        <v>7.44</v>
      </c>
      <c r="G7" s="18">
        <v>16.190000000000001</v>
      </c>
      <c r="H7" s="18">
        <v>13.41</v>
      </c>
      <c r="I7" s="18">
        <v>12</v>
      </c>
      <c r="J7" s="19"/>
      <c r="K7" s="20">
        <v>421.34</v>
      </c>
      <c r="L7" s="19"/>
      <c r="M7" s="18">
        <v>0.76</v>
      </c>
      <c r="N7" s="18">
        <v>2.4</v>
      </c>
    </row>
    <row r="8" spans="1:14" ht="14.25" customHeight="1" x14ac:dyDescent="0.35">
      <c r="A8" s="17" t="s">
        <v>496</v>
      </c>
      <c r="B8" s="18">
        <v>0.36</v>
      </c>
      <c r="C8" s="18">
        <v>1.46</v>
      </c>
      <c r="D8" s="18">
        <v>7.03</v>
      </c>
      <c r="E8" s="18" t="s">
        <v>13</v>
      </c>
      <c r="F8" s="18" t="s">
        <v>13</v>
      </c>
      <c r="G8" s="18" t="s">
        <v>13</v>
      </c>
      <c r="H8" s="18" t="s">
        <v>13</v>
      </c>
      <c r="I8" s="18">
        <v>11.2</v>
      </c>
      <c r="J8" s="19"/>
      <c r="K8" s="20">
        <v>615.96</v>
      </c>
      <c r="L8" s="19"/>
      <c r="M8" s="18">
        <v>0.67</v>
      </c>
      <c r="N8" s="18">
        <v>2.36</v>
      </c>
    </row>
    <row r="9" spans="1:14" ht="14.25" customHeight="1" x14ac:dyDescent="0.35">
      <c r="A9" s="17" t="s">
        <v>497</v>
      </c>
      <c r="B9" s="18">
        <v>0.37</v>
      </c>
      <c r="C9" s="18">
        <v>1.88</v>
      </c>
      <c r="D9" s="18">
        <v>8.23</v>
      </c>
      <c r="E9" s="18">
        <v>4.82</v>
      </c>
      <c r="F9" s="18">
        <v>17.91</v>
      </c>
      <c r="G9" s="18" t="s">
        <v>13</v>
      </c>
      <c r="H9" s="18" t="s">
        <v>13</v>
      </c>
      <c r="I9" s="18">
        <v>18.170000000000002</v>
      </c>
      <c r="J9" s="19"/>
      <c r="K9" s="20">
        <v>2012.45</v>
      </c>
      <c r="L9" s="19"/>
      <c r="M9" s="18">
        <v>0.63</v>
      </c>
      <c r="N9" s="18">
        <v>2.08</v>
      </c>
    </row>
    <row r="10" spans="1:14" ht="14.25" customHeight="1" x14ac:dyDescent="0.35">
      <c r="A10" s="17" t="s">
        <v>498</v>
      </c>
      <c r="B10" s="18">
        <v>-0.49</v>
      </c>
      <c r="C10" s="18">
        <v>-0.54</v>
      </c>
      <c r="D10" s="18">
        <v>3.74</v>
      </c>
      <c r="E10" s="18" t="s">
        <v>13</v>
      </c>
      <c r="F10" s="18" t="s">
        <v>13</v>
      </c>
      <c r="G10" s="18" t="s">
        <v>13</v>
      </c>
      <c r="H10" s="18" t="s">
        <v>13</v>
      </c>
      <c r="I10" s="18">
        <v>-4.08</v>
      </c>
      <c r="J10" s="19"/>
      <c r="K10" s="20">
        <v>274.48</v>
      </c>
      <c r="L10" s="19"/>
      <c r="M10" s="18">
        <v>0.74</v>
      </c>
      <c r="N10" s="18">
        <v>2.39</v>
      </c>
    </row>
    <row r="11" spans="1:14" ht="14.25" customHeight="1" x14ac:dyDescent="0.35">
      <c r="A11" s="17" t="s">
        <v>499</v>
      </c>
      <c r="B11" s="18">
        <v>0.8</v>
      </c>
      <c r="C11" s="18">
        <v>-0.03</v>
      </c>
      <c r="D11" s="18">
        <v>7.9</v>
      </c>
      <c r="E11" s="18">
        <v>7.4</v>
      </c>
      <c r="F11" s="18">
        <v>13.78</v>
      </c>
      <c r="G11" s="18" t="s">
        <v>13</v>
      </c>
      <c r="H11" s="18" t="s">
        <v>13</v>
      </c>
      <c r="I11" s="18">
        <v>12.88</v>
      </c>
      <c r="J11" s="19"/>
      <c r="K11" s="20">
        <v>75.510000000000005</v>
      </c>
      <c r="L11" s="19"/>
      <c r="M11" s="18">
        <v>0.41</v>
      </c>
      <c r="N11" s="18">
        <v>2.35</v>
      </c>
    </row>
    <row r="12" spans="1:14" ht="14.25" customHeight="1" x14ac:dyDescent="0.35">
      <c r="A12" s="17" t="s">
        <v>500</v>
      </c>
      <c r="B12" s="18">
        <v>-0.32</v>
      </c>
      <c r="C12" s="18">
        <v>-1.08</v>
      </c>
      <c r="D12" s="18">
        <v>5.82</v>
      </c>
      <c r="E12" s="18">
        <v>-1.47</v>
      </c>
      <c r="F12" s="18">
        <v>8.74</v>
      </c>
      <c r="G12" s="18">
        <v>14.21</v>
      </c>
      <c r="H12" s="18">
        <v>13.37</v>
      </c>
      <c r="I12" s="18">
        <v>13.71</v>
      </c>
      <c r="J12" s="19"/>
      <c r="K12" s="20">
        <v>4582.3</v>
      </c>
      <c r="L12" s="19"/>
      <c r="M12" s="18">
        <v>0.82</v>
      </c>
      <c r="N12" s="18">
        <v>1.92</v>
      </c>
    </row>
    <row r="13" spans="1:14" ht="14.25" customHeight="1" x14ac:dyDescent="0.35">
      <c r="A13" s="17" t="s">
        <v>501</v>
      </c>
      <c r="B13" s="18">
        <v>0.13</v>
      </c>
      <c r="C13" s="18">
        <v>0.01</v>
      </c>
      <c r="D13" s="18">
        <v>5.12</v>
      </c>
      <c r="E13" s="18">
        <v>2.91</v>
      </c>
      <c r="F13" s="18">
        <v>13.42</v>
      </c>
      <c r="G13" s="18" t="s">
        <v>13</v>
      </c>
      <c r="H13" s="18" t="s">
        <v>13</v>
      </c>
      <c r="I13" s="18">
        <v>18.809999999999999</v>
      </c>
      <c r="J13" s="19"/>
      <c r="K13" s="20">
        <v>926.56</v>
      </c>
      <c r="L13" s="19"/>
      <c r="M13" s="18">
        <v>0.52</v>
      </c>
      <c r="N13" s="18">
        <v>2.29</v>
      </c>
    </row>
    <row r="14" spans="1:14" ht="14.25" customHeight="1" x14ac:dyDescent="0.35">
      <c r="A14" s="17" t="s">
        <v>502</v>
      </c>
      <c r="B14" s="18">
        <v>0.76</v>
      </c>
      <c r="C14" s="18">
        <v>-0.33</v>
      </c>
      <c r="D14" s="18">
        <v>4.4400000000000004</v>
      </c>
      <c r="E14" s="18">
        <v>-0.33</v>
      </c>
      <c r="F14" s="18">
        <v>3.72</v>
      </c>
      <c r="G14" s="18" t="s">
        <v>13</v>
      </c>
      <c r="H14" s="18" t="s">
        <v>13</v>
      </c>
      <c r="I14" s="18">
        <v>8.89</v>
      </c>
      <c r="J14" s="19"/>
      <c r="K14" s="20">
        <v>200.28</v>
      </c>
      <c r="L14" s="19"/>
      <c r="M14" s="18">
        <v>0.84</v>
      </c>
      <c r="N14" s="18">
        <v>2.42</v>
      </c>
    </row>
    <row r="15" spans="1:14" ht="14.25" customHeight="1" x14ac:dyDescent="0.35">
      <c r="A15" s="17" t="s">
        <v>503</v>
      </c>
      <c r="B15" s="18">
        <v>-0.48</v>
      </c>
      <c r="C15" s="18">
        <v>-2.06</v>
      </c>
      <c r="D15" s="18">
        <v>2.57</v>
      </c>
      <c r="E15" s="18">
        <v>-4.72</v>
      </c>
      <c r="F15" s="18">
        <v>-1.33</v>
      </c>
      <c r="G15" s="18">
        <v>10.92</v>
      </c>
      <c r="H15" s="18">
        <v>10.199999999999999</v>
      </c>
      <c r="I15" s="18">
        <v>14.59</v>
      </c>
      <c r="J15" s="19"/>
      <c r="K15" s="20">
        <v>11034.17</v>
      </c>
      <c r="L15" s="19"/>
      <c r="M15" s="18">
        <v>1.05</v>
      </c>
      <c r="N15" s="18">
        <v>1.82</v>
      </c>
    </row>
    <row r="16" spans="1:14" ht="14.25" customHeight="1" x14ac:dyDescent="0.35">
      <c r="A16" s="17" t="s">
        <v>504</v>
      </c>
      <c r="B16" s="18">
        <v>-0.09</v>
      </c>
      <c r="C16" s="18">
        <v>-0.11</v>
      </c>
      <c r="D16" s="18">
        <v>6.35</v>
      </c>
      <c r="E16" s="18">
        <v>-1.03</v>
      </c>
      <c r="F16" s="18">
        <v>11.2</v>
      </c>
      <c r="G16" s="18">
        <v>13.7</v>
      </c>
      <c r="H16" s="18" t="s">
        <v>13</v>
      </c>
      <c r="I16" s="18">
        <v>12.94</v>
      </c>
      <c r="J16" s="19"/>
      <c r="K16" s="20">
        <v>381.16</v>
      </c>
      <c r="L16" s="19"/>
      <c r="M16" s="18">
        <v>0.4</v>
      </c>
      <c r="N16" s="18">
        <v>2.34</v>
      </c>
    </row>
    <row r="17" spans="1:14" ht="14.25" customHeight="1" x14ac:dyDescent="0.35">
      <c r="A17" s="17" t="s">
        <v>505</v>
      </c>
      <c r="B17" s="18">
        <v>0.22</v>
      </c>
      <c r="C17" s="18">
        <v>-1.32</v>
      </c>
      <c r="D17" s="18">
        <v>4.16</v>
      </c>
      <c r="E17" s="18">
        <v>0.89</v>
      </c>
      <c r="F17" s="18">
        <v>8.94</v>
      </c>
      <c r="G17" s="18">
        <v>19.829999999999998</v>
      </c>
      <c r="H17" s="18">
        <v>15.25</v>
      </c>
      <c r="I17" s="18">
        <v>15.79</v>
      </c>
      <c r="J17" s="19"/>
      <c r="K17" s="20">
        <v>1811</v>
      </c>
      <c r="L17" s="19"/>
      <c r="M17" s="18">
        <v>0.81</v>
      </c>
      <c r="N17" s="18">
        <v>2.11</v>
      </c>
    </row>
    <row r="18" spans="1:14" ht="14.25" customHeight="1" x14ac:dyDescent="0.35">
      <c r="A18" s="17" t="s">
        <v>506</v>
      </c>
      <c r="B18" s="18">
        <v>-0.63</v>
      </c>
      <c r="C18" s="18">
        <v>-0.64</v>
      </c>
      <c r="D18" s="18">
        <v>6.45</v>
      </c>
      <c r="E18" s="18">
        <v>-0.51</v>
      </c>
      <c r="F18" s="18">
        <v>9.26</v>
      </c>
      <c r="G18" s="18">
        <v>14.9</v>
      </c>
      <c r="H18" s="18" t="s">
        <v>13</v>
      </c>
      <c r="I18" s="18">
        <v>17.010000000000002</v>
      </c>
      <c r="J18" s="19"/>
      <c r="K18" s="20">
        <v>1486.94</v>
      </c>
      <c r="L18" s="19"/>
      <c r="M18" s="18">
        <v>0.68</v>
      </c>
      <c r="N18" s="18">
        <v>2.12</v>
      </c>
    </row>
    <row r="19" spans="1:14" ht="14.25" customHeight="1" x14ac:dyDescent="0.35">
      <c r="A19" s="17" t="s">
        <v>507</v>
      </c>
      <c r="B19" s="18">
        <v>0.21</v>
      </c>
      <c r="C19" s="18">
        <v>-0.16</v>
      </c>
      <c r="D19" s="18">
        <v>5.44</v>
      </c>
      <c r="E19" s="18">
        <v>-2.13</v>
      </c>
      <c r="F19" s="18">
        <v>6.37</v>
      </c>
      <c r="G19" s="18">
        <v>9.49</v>
      </c>
      <c r="H19" s="18">
        <v>11.39</v>
      </c>
      <c r="I19" s="18">
        <v>8.31</v>
      </c>
      <c r="J19" s="19"/>
      <c r="K19" s="20">
        <v>269.20999999999998</v>
      </c>
      <c r="L19" s="19"/>
      <c r="M19" s="18">
        <v>1.2</v>
      </c>
      <c r="N19" s="18">
        <v>2.46</v>
      </c>
    </row>
    <row r="20" spans="1:14" ht="14.25" customHeight="1" x14ac:dyDescent="0.35">
      <c r="A20" s="17" t="s">
        <v>508</v>
      </c>
      <c r="B20" s="18">
        <v>0.57999999999999996</v>
      </c>
      <c r="C20" s="18">
        <v>0.66</v>
      </c>
      <c r="D20" s="18">
        <v>6.68</v>
      </c>
      <c r="E20" s="18">
        <v>0.19</v>
      </c>
      <c r="F20" s="18">
        <v>12.16</v>
      </c>
      <c r="G20" s="18" t="s">
        <v>13</v>
      </c>
      <c r="H20" s="18" t="s">
        <v>13</v>
      </c>
      <c r="I20" s="18">
        <v>9.52</v>
      </c>
      <c r="J20" s="19"/>
      <c r="K20" s="20">
        <v>450.83</v>
      </c>
      <c r="L20" s="19"/>
      <c r="M20" s="18">
        <v>0.55000000000000004</v>
      </c>
      <c r="N20" s="18">
        <v>2.36</v>
      </c>
    </row>
    <row r="21" spans="1:14" ht="14.25" customHeight="1" x14ac:dyDescent="0.35">
      <c r="A21" s="17" t="s">
        <v>509</v>
      </c>
      <c r="B21" s="18">
        <v>-0.52</v>
      </c>
      <c r="C21" s="18">
        <v>-0.7</v>
      </c>
      <c r="D21" s="18">
        <v>5.53</v>
      </c>
      <c r="E21" s="18">
        <v>-2.87</v>
      </c>
      <c r="F21" s="18">
        <v>7.34</v>
      </c>
      <c r="G21" s="18">
        <v>14.25</v>
      </c>
      <c r="H21" s="18">
        <v>13.76</v>
      </c>
      <c r="I21" s="18">
        <v>16.2</v>
      </c>
      <c r="J21" s="19"/>
      <c r="K21" s="20">
        <v>2304.89</v>
      </c>
      <c r="L21" s="19"/>
      <c r="M21" s="18">
        <v>0.61</v>
      </c>
      <c r="N21" s="18">
        <v>2.0499999999999998</v>
      </c>
    </row>
    <row r="22" spans="1:14" ht="14.25" customHeight="1" x14ac:dyDescent="0.35">
      <c r="A22" s="17" t="s">
        <v>510</v>
      </c>
      <c r="B22" s="18">
        <v>0.43</v>
      </c>
      <c r="C22" s="18">
        <v>2.5</v>
      </c>
      <c r="D22" s="18">
        <v>10.050000000000001</v>
      </c>
      <c r="E22" s="18" t="s">
        <v>13</v>
      </c>
      <c r="F22" s="18" t="s">
        <v>13</v>
      </c>
      <c r="G22" s="18" t="s">
        <v>13</v>
      </c>
      <c r="H22" s="18" t="s">
        <v>13</v>
      </c>
      <c r="I22" s="18">
        <v>8.61</v>
      </c>
      <c r="J22" s="19"/>
      <c r="K22" s="20">
        <v>191.37</v>
      </c>
      <c r="L22" s="19"/>
      <c r="M22" s="18">
        <v>1</v>
      </c>
      <c r="N22" s="18">
        <v>2.4300000000000002</v>
      </c>
    </row>
    <row r="23" spans="1:14" ht="14.25" customHeight="1" x14ac:dyDescent="0.35">
      <c r="A23" s="17" t="s">
        <v>511</v>
      </c>
      <c r="B23" s="18">
        <v>-0.09</v>
      </c>
      <c r="C23" s="18">
        <v>-1.53</v>
      </c>
      <c r="D23" s="18">
        <v>3.99</v>
      </c>
      <c r="E23" s="18">
        <v>-2.84</v>
      </c>
      <c r="F23" s="18">
        <v>5.15</v>
      </c>
      <c r="G23" s="18">
        <v>13.72</v>
      </c>
      <c r="H23" s="18">
        <v>14.15</v>
      </c>
      <c r="I23" s="18">
        <v>13.94</v>
      </c>
      <c r="J23" s="19"/>
      <c r="K23" s="20">
        <v>7788.58</v>
      </c>
      <c r="L23" s="19"/>
      <c r="M23" s="18">
        <v>0.97</v>
      </c>
      <c r="N23" s="18">
        <v>1.85</v>
      </c>
    </row>
    <row r="24" spans="1:14" ht="14.25" customHeight="1" x14ac:dyDescent="0.35">
      <c r="A24" s="17" t="s">
        <v>512</v>
      </c>
      <c r="B24" s="18">
        <v>-1.1100000000000001</v>
      </c>
      <c r="C24" s="18">
        <v>-3.19</v>
      </c>
      <c r="D24" s="18">
        <v>6.92</v>
      </c>
      <c r="E24" s="18">
        <v>6.96</v>
      </c>
      <c r="F24" s="18">
        <v>18.05</v>
      </c>
      <c r="G24" s="18">
        <v>23.87</v>
      </c>
      <c r="H24" s="18" t="s">
        <v>13</v>
      </c>
      <c r="I24" s="18">
        <v>27.07</v>
      </c>
      <c r="J24" s="19"/>
      <c r="K24" s="20">
        <v>837.94</v>
      </c>
      <c r="L24" s="19"/>
      <c r="M24" s="18">
        <v>0.75</v>
      </c>
      <c r="N24" s="18">
        <v>2.35</v>
      </c>
    </row>
    <row r="25" spans="1:14" ht="14.25" customHeight="1" x14ac:dyDescent="0.35">
      <c r="A25" s="17" t="s">
        <v>513</v>
      </c>
      <c r="B25" s="18">
        <v>-0.46</v>
      </c>
      <c r="C25" s="18">
        <v>-0.71</v>
      </c>
      <c r="D25" s="18">
        <v>2.67</v>
      </c>
      <c r="E25" s="18">
        <v>-5.44</v>
      </c>
      <c r="F25" s="18">
        <v>3.88</v>
      </c>
      <c r="G25" s="18">
        <v>17.16</v>
      </c>
      <c r="H25" s="18">
        <v>13.55</v>
      </c>
      <c r="I25" s="18">
        <v>14.9</v>
      </c>
      <c r="J25" s="19"/>
      <c r="K25" s="20">
        <v>10844.85</v>
      </c>
      <c r="L25" s="19"/>
      <c r="M25" s="18">
        <v>0.74</v>
      </c>
      <c r="N25" s="18">
        <v>1.77</v>
      </c>
    </row>
    <row r="26" spans="1:14" ht="14.25" customHeight="1" x14ac:dyDescent="0.35">
      <c r="A26" s="17" t="s">
        <v>514</v>
      </c>
      <c r="B26" s="18">
        <v>-0.3</v>
      </c>
      <c r="C26" s="18">
        <v>-0.45</v>
      </c>
      <c r="D26" s="18">
        <v>5.7</v>
      </c>
      <c r="E26" s="18">
        <v>-0.77</v>
      </c>
      <c r="F26" s="18">
        <v>10.54</v>
      </c>
      <c r="G26" s="18">
        <v>14.92</v>
      </c>
      <c r="H26" s="18">
        <v>14.95</v>
      </c>
      <c r="I26" s="18">
        <v>13.78</v>
      </c>
      <c r="J26" s="19"/>
      <c r="K26" s="20">
        <v>1681.38</v>
      </c>
      <c r="L26" s="19"/>
      <c r="M26" s="18">
        <v>0.79</v>
      </c>
      <c r="N26" s="18">
        <v>2.11</v>
      </c>
    </row>
    <row r="27" spans="1:14" ht="14.25" customHeight="1" x14ac:dyDescent="0.35">
      <c r="A27" s="17" t="s">
        <v>515</v>
      </c>
      <c r="B27" s="18">
        <v>0.19</v>
      </c>
      <c r="C27" s="18">
        <v>-0.33</v>
      </c>
      <c r="D27" s="18">
        <v>5.58</v>
      </c>
      <c r="E27" s="18">
        <v>-1.91</v>
      </c>
      <c r="F27" s="18">
        <v>6.71</v>
      </c>
      <c r="G27" s="18">
        <v>13.28</v>
      </c>
      <c r="H27" s="18">
        <v>13.28</v>
      </c>
      <c r="I27" s="18">
        <v>16.84</v>
      </c>
      <c r="J27" s="19"/>
      <c r="K27" s="20">
        <v>3170.66</v>
      </c>
      <c r="L27" s="19"/>
      <c r="M27" s="18">
        <v>0.56000000000000005</v>
      </c>
      <c r="N27" s="18">
        <v>1.94</v>
      </c>
    </row>
    <row r="28" spans="1:14" ht="14.25" customHeight="1" x14ac:dyDescent="0.35">
      <c r="A28" s="17" t="s">
        <v>516</v>
      </c>
      <c r="B28" s="18">
        <v>-1.1100000000000001</v>
      </c>
      <c r="C28" s="18">
        <v>-1.64</v>
      </c>
      <c r="D28" s="18">
        <v>2.25</v>
      </c>
      <c r="E28" s="18">
        <v>-4.13</v>
      </c>
      <c r="F28" s="18">
        <v>-0.72</v>
      </c>
      <c r="G28" s="18">
        <v>9.5399999999999991</v>
      </c>
      <c r="H28" s="18">
        <v>10.39</v>
      </c>
      <c r="I28" s="18">
        <v>11.42</v>
      </c>
      <c r="J28" s="19"/>
      <c r="K28" s="20">
        <v>11.69</v>
      </c>
      <c r="L28" s="19"/>
      <c r="M28" s="18">
        <v>2.4900000000000002</v>
      </c>
      <c r="N28" s="18">
        <v>2.57</v>
      </c>
    </row>
    <row r="29" spans="1:14" ht="14.25" customHeight="1" x14ac:dyDescent="0.35">
      <c r="A29" s="17" t="s">
        <v>517</v>
      </c>
      <c r="B29" s="18">
        <v>-0.18</v>
      </c>
      <c r="C29" s="18">
        <v>0.05</v>
      </c>
      <c r="D29" s="18">
        <v>6</v>
      </c>
      <c r="E29" s="18">
        <v>-2.14</v>
      </c>
      <c r="F29" s="18">
        <v>6.81</v>
      </c>
      <c r="G29" s="18">
        <v>14.48</v>
      </c>
      <c r="H29" s="18">
        <v>12.73</v>
      </c>
      <c r="I29" s="18">
        <v>11.85</v>
      </c>
      <c r="J29" s="19"/>
      <c r="K29" s="20">
        <v>1429.59</v>
      </c>
      <c r="L29" s="19"/>
      <c r="M29" s="18">
        <v>1.08</v>
      </c>
      <c r="N29" s="18">
        <v>2.16</v>
      </c>
    </row>
    <row r="30" spans="1:14" ht="14.25" customHeight="1" x14ac:dyDescent="0.35">
      <c r="A30" s="17" t="s">
        <v>518</v>
      </c>
      <c r="B30" s="18">
        <v>-0.26</v>
      </c>
      <c r="C30" s="18">
        <v>0.28000000000000003</v>
      </c>
      <c r="D30" s="18">
        <v>6.9</v>
      </c>
      <c r="E30" s="18">
        <v>0.5</v>
      </c>
      <c r="F30" s="18">
        <v>7.18</v>
      </c>
      <c r="G30" s="18" t="s">
        <v>13</v>
      </c>
      <c r="H30" s="18" t="s">
        <v>13</v>
      </c>
      <c r="I30" s="18">
        <v>13.22</v>
      </c>
      <c r="J30" s="19"/>
      <c r="K30" s="20">
        <v>633.39</v>
      </c>
      <c r="L30" s="19"/>
      <c r="M30" s="18">
        <v>0.72</v>
      </c>
      <c r="N30" s="18">
        <v>2.39</v>
      </c>
    </row>
    <row r="31" spans="1:14" ht="14.25" customHeight="1" x14ac:dyDescent="0.35">
      <c r="A31" s="21" t="s">
        <v>49</v>
      </c>
      <c r="B31" s="22">
        <f t="shared" ref="B31:G31" si="0">MEDIAN(B3:B30)</f>
        <v>-0.09</v>
      </c>
      <c r="C31" s="22">
        <f t="shared" si="0"/>
        <v>-0.48</v>
      </c>
      <c r="D31" s="22">
        <f t="shared" si="0"/>
        <v>5.76</v>
      </c>
      <c r="E31" s="22">
        <f t="shared" si="0"/>
        <v>-1.03</v>
      </c>
      <c r="F31" s="22">
        <f t="shared" si="0"/>
        <v>7.34</v>
      </c>
      <c r="G31" s="22">
        <f t="shared" si="0"/>
        <v>14.25</v>
      </c>
      <c r="H31" s="22">
        <f>MEDIAN(H3:H30)</f>
        <v>13.37</v>
      </c>
      <c r="I31" s="22">
        <f>MEDIAN(I3:I30)</f>
        <v>13.465</v>
      </c>
    </row>
    <row r="32" spans="1:14" x14ac:dyDescent="0.35">
      <c r="A32" s="2" t="s">
        <v>50</v>
      </c>
      <c r="B32" s="5" t="s">
        <v>13</v>
      </c>
      <c r="C32" s="5" t="s">
        <v>13</v>
      </c>
      <c r="D32" s="5" t="s">
        <v>13</v>
      </c>
      <c r="E32" s="5" t="s">
        <v>13</v>
      </c>
      <c r="F32" s="5" t="s">
        <v>13</v>
      </c>
      <c r="G32" s="5" t="s">
        <v>13</v>
      </c>
      <c r="H32" s="5" t="s">
        <v>13</v>
      </c>
      <c r="I32" s="5" t="s">
        <v>13</v>
      </c>
    </row>
    <row r="33" spans="1:8" ht="14.25" customHeight="1" x14ac:dyDescent="0.35">
      <c r="A33" s="26" t="s">
        <v>129</v>
      </c>
      <c r="B33" s="24">
        <f>'BenchMark Returns'!B10</f>
        <v>-0.48</v>
      </c>
      <c r="C33" s="24">
        <f>'BenchMark Returns'!C10</f>
        <v>1.92</v>
      </c>
      <c r="D33" s="24">
        <f>'BenchMark Returns'!D10</f>
        <v>4.93</v>
      </c>
      <c r="E33" s="24">
        <f>'BenchMark Returns'!E10</f>
        <v>1.85</v>
      </c>
      <c r="F33" s="24">
        <f>'BenchMark Returns'!F10</f>
        <v>4.99</v>
      </c>
      <c r="G33" s="24">
        <f>'BenchMark Returns'!G10</f>
        <v>13</v>
      </c>
      <c r="H33" s="24">
        <f>'BenchMark Returns'!H10</f>
        <v>12.02</v>
      </c>
    </row>
    <row r="34" spans="1:8" ht="14.25" customHeight="1" x14ac:dyDescent="0.35">
      <c r="A34" s="26" t="s">
        <v>448</v>
      </c>
      <c r="B34" s="24">
        <f>'BenchMark Returns'!B17</f>
        <v>-0.95</v>
      </c>
      <c r="C34" s="24">
        <f>'BenchMark Returns'!C17</f>
        <v>-1.22</v>
      </c>
      <c r="D34" s="24">
        <f>'BenchMark Returns'!D17</f>
        <v>2.91</v>
      </c>
      <c r="E34" s="24">
        <f>'BenchMark Returns'!E17</f>
        <v>-6.76</v>
      </c>
      <c r="F34" s="24">
        <f>'BenchMark Returns'!F17</f>
        <v>-0.45</v>
      </c>
      <c r="G34" s="24">
        <f>'BenchMark Returns'!G17</f>
        <v>10.07</v>
      </c>
      <c r="H34" s="24">
        <f>'BenchMark Returns'!H17</f>
        <v>8.59</v>
      </c>
    </row>
  </sheetData>
  <mergeCells count="1">
    <mergeCell ref="M1:N1"/>
  </mergeCells>
  <conditionalFormatting sqref="F3:F30">
    <cfRule type="expression" dxfId="32" priority="2">
      <formula>AND(ISNUMBER(F3),F3&gt;MEDIAN($F$3:$F$30))</formula>
    </cfRule>
  </conditionalFormatting>
  <conditionalFormatting sqref="G3:G30">
    <cfRule type="expression" dxfId="31" priority="3">
      <formula>AND(ISNUMBER(G3),G3&gt;MEDIAN($G$3:$G$30))</formula>
    </cfRule>
  </conditionalFormatting>
  <conditionalFormatting sqref="H3:H30">
    <cfRule type="expression" dxfId="30" priority="4">
      <formula>AND(ISNUMBER(H3),H3&gt;MEDIAN($H$3:$H$30))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0"/>
  <sheetViews>
    <sheetView zoomScale="80" zoomScaleNormal="80" workbookViewId="0">
      <selection activeCell="K20" sqref="K20"/>
    </sheetView>
  </sheetViews>
  <sheetFormatPr defaultColWidth="8.54296875" defaultRowHeight="14.5" x14ac:dyDescent="0.35"/>
  <cols>
    <col min="1" max="1" width="46.1796875" customWidth="1"/>
    <col min="2" max="2" width="6.81640625" customWidth="1"/>
    <col min="3" max="3" width="7.453125" customWidth="1"/>
    <col min="4" max="5" width="8.36328125" customWidth="1"/>
    <col min="6" max="6" width="6.453125" customWidth="1"/>
    <col min="7" max="8" width="6.81640625" customWidth="1"/>
    <col min="9" max="9" width="14" customWidth="1"/>
    <col min="10" max="10" width="4.1796875" customWidth="1"/>
    <col min="11" max="11" width="12.90625" customWidth="1"/>
    <col min="12" max="12" width="4.0898437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519</v>
      </c>
      <c r="B3" s="18">
        <v>0.31</v>
      </c>
      <c r="C3" s="18">
        <v>8.33</v>
      </c>
      <c r="D3" s="18">
        <v>15.36</v>
      </c>
      <c r="E3" s="18">
        <v>2.96</v>
      </c>
      <c r="F3" s="18">
        <v>-1.37</v>
      </c>
      <c r="G3" s="18">
        <v>7.21</v>
      </c>
      <c r="H3" s="18">
        <v>5.99</v>
      </c>
      <c r="I3" s="18">
        <v>18.46</v>
      </c>
      <c r="J3" s="19"/>
      <c r="K3" s="20">
        <v>3589.29</v>
      </c>
      <c r="L3" s="19"/>
      <c r="M3" s="18">
        <v>0.83</v>
      </c>
      <c r="N3" s="18">
        <v>1.91</v>
      </c>
    </row>
    <row r="4" spans="1:14" ht="14.25" customHeight="1" x14ac:dyDescent="0.35">
      <c r="A4" s="17" t="s">
        <v>520</v>
      </c>
      <c r="B4" s="18">
        <v>0.89</v>
      </c>
      <c r="C4" s="18">
        <v>7.74</v>
      </c>
      <c r="D4" s="18">
        <v>14.01</v>
      </c>
      <c r="E4" s="18">
        <v>15.66</v>
      </c>
      <c r="F4" s="18">
        <v>13.71</v>
      </c>
      <c r="G4" s="18" t="s">
        <v>13</v>
      </c>
      <c r="H4" s="18" t="s">
        <v>13</v>
      </c>
      <c r="I4" s="18">
        <v>13.23</v>
      </c>
      <c r="J4" s="19"/>
      <c r="K4" s="20">
        <v>707.62</v>
      </c>
      <c r="L4" s="19"/>
      <c r="M4" s="18">
        <v>0.64</v>
      </c>
      <c r="N4" s="18">
        <v>2.34</v>
      </c>
    </row>
    <row r="5" spans="1:14" ht="14.25" customHeight="1" x14ac:dyDescent="0.35">
      <c r="A5" s="17" t="s">
        <v>521</v>
      </c>
      <c r="B5" s="18">
        <v>0.76</v>
      </c>
      <c r="C5" s="18">
        <v>7.28</v>
      </c>
      <c r="D5" s="18">
        <v>12.42</v>
      </c>
      <c r="E5" s="18">
        <v>3.5</v>
      </c>
      <c r="F5" s="18">
        <v>-1.75</v>
      </c>
      <c r="G5" s="18">
        <v>12.15</v>
      </c>
      <c r="H5" s="18">
        <v>9.2899999999999991</v>
      </c>
      <c r="I5" s="18">
        <v>17.420000000000002</v>
      </c>
      <c r="J5" s="19"/>
      <c r="K5" s="20">
        <v>1583.05</v>
      </c>
      <c r="L5" s="19"/>
      <c r="M5" s="18">
        <v>1.1299999999999999</v>
      </c>
      <c r="N5" s="18">
        <v>2.12</v>
      </c>
    </row>
    <row r="6" spans="1:14" ht="14.25" customHeight="1" x14ac:dyDescent="0.35">
      <c r="A6" s="17" t="s">
        <v>522</v>
      </c>
      <c r="B6" s="18">
        <v>0.41</v>
      </c>
      <c r="C6" s="18">
        <v>6.82</v>
      </c>
      <c r="D6" s="18">
        <v>15.07</v>
      </c>
      <c r="E6" s="18">
        <v>0.23</v>
      </c>
      <c r="F6" s="18">
        <v>-5.91</v>
      </c>
      <c r="G6" s="18" t="s">
        <v>13</v>
      </c>
      <c r="H6" s="18" t="s">
        <v>13</v>
      </c>
      <c r="I6" s="18">
        <v>8.17</v>
      </c>
      <c r="J6" s="19"/>
      <c r="K6" s="20">
        <v>1278.73</v>
      </c>
      <c r="L6" s="19"/>
      <c r="M6" s="18">
        <v>0.99</v>
      </c>
      <c r="N6" s="18">
        <v>2.19</v>
      </c>
    </row>
    <row r="7" spans="1:14" ht="14.25" customHeight="1" x14ac:dyDescent="0.35">
      <c r="A7" s="17" t="s">
        <v>523</v>
      </c>
      <c r="B7" s="18">
        <v>0.56999999999999995</v>
      </c>
      <c r="C7" s="18">
        <v>6.93</v>
      </c>
      <c r="D7" s="18">
        <v>13.67</v>
      </c>
      <c r="E7" s="18">
        <v>0.47</v>
      </c>
      <c r="F7" s="18">
        <v>-3.02</v>
      </c>
      <c r="G7" s="18">
        <v>8.93</v>
      </c>
      <c r="H7" s="18">
        <v>5.8</v>
      </c>
      <c r="I7" s="18">
        <v>19.010000000000002</v>
      </c>
      <c r="J7" s="19"/>
      <c r="K7" s="20">
        <v>12547.28</v>
      </c>
      <c r="L7" s="19"/>
      <c r="M7" s="18">
        <v>1.03</v>
      </c>
      <c r="N7" s="18">
        <v>1.78</v>
      </c>
    </row>
    <row r="8" spans="1:14" ht="14.25" customHeight="1" x14ac:dyDescent="0.35">
      <c r="A8" s="17" t="s">
        <v>524</v>
      </c>
      <c r="B8" s="18">
        <v>1.28</v>
      </c>
      <c r="C8" s="18">
        <v>6.42</v>
      </c>
      <c r="D8" s="18">
        <v>13.61</v>
      </c>
      <c r="E8" s="18">
        <v>12.54</v>
      </c>
      <c r="F8" s="18">
        <v>6.98</v>
      </c>
      <c r="G8" s="18" t="s">
        <v>13</v>
      </c>
      <c r="H8" s="18" t="s">
        <v>13</v>
      </c>
      <c r="I8" s="18">
        <v>1.42</v>
      </c>
      <c r="J8" s="19"/>
      <c r="K8" s="20">
        <v>302.32</v>
      </c>
      <c r="L8" s="19"/>
      <c r="M8" s="18">
        <v>0.82</v>
      </c>
      <c r="N8" s="18">
        <v>2.39</v>
      </c>
    </row>
    <row r="9" spans="1:14" ht="14.25" customHeight="1" x14ac:dyDescent="0.35">
      <c r="A9" s="17" t="s">
        <v>525</v>
      </c>
      <c r="B9" s="18">
        <v>0.27</v>
      </c>
      <c r="C9" s="18">
        <v>7.02</v>
      </c>
      <c r="D9" s="18">
        <v>13.84</v>
      </c>
      <c r="E9" s="18">
        <v>-0.13</v>
      </c>
      <c r="F9" s="18">
        <v>-3.54</v>
      </c>
      <c r="G9" s="18" t="s">
        <v>13</v>
      </c>
      <c r="H9" s="18" t="s">
        <v>13</v>
      </c>
      <c r="I9" s="18">
        <v>3.82</v>
      </c>
      <c r="J9" s="19"/>
      <c r="K9" s="20">
        <v>505.35</v>
      </c>
      <c r="L9" s="19"/>
      <c r="M9" s="18">
        <v>0.88</v>
      </c>
      <c r="N9" s="18">
        <v>2.38</v>
      </c>
    </row>
    <row r="10" spans="1:14" ht="14.25" customHeight="1" x14ac:dyDescent="0.35">
      <c r="A10" s="17" t="s">
        <v>526</v>
      </c>
      <c r="B10" s="18">
        <v>1.1499999999999999</v>
      </c>
      <c r="C10" s="18">
        <v>5.53</v>
      </c>
      <c r="D10" s="18">
        <v>11.28</v>
      </c>
      <c r="E10" s="18" t="s">
        <v>13</v>
      </c>
      <c r="F10" s="18" t="s">
        <v>13</v>
      </c>
      <c r="G10" s="18" t="s">
        <v>13</v>
      </c>
      <c r="H10" s="18" t="s">
        <v>13</v>
      </c>
      <c r="I10" s="18">
        <v>15.13</v>
      </c>
      <c r="J10" s="19"/>
      <c r="K10" s="20">
        <v>85.99</v>
      </c>
      <c r="L10" s="19"/>
      <c r="M10" s="18">
        <v>0.61</v>
      </c>
      <c r="N10" s="18">
        <v>2.37</v>
      </c>
    </row>
    <row r="11" spans="1:14" ht="14.25" customHeight="1" x14ac:dyDescent="0.35">
      <c r="A11" s="17" t="s">
        <v>527</v>
      </c>
      <c r="B11" s="18">
        <v>1.79</v>
      </c>
      <c r="C11" s="18">
        <v>4.1399999999999997</v>
      </c>
      <c r="D11" s="18">
        <v>19.39</v>
      </c>
      <c r="E11" s="18">
        <v>13.47</v>
      </c>
      <c r="F11" s="18">
        <v>1.71</v>
      </c>
      <c r="G11" s="18" t="s">
        <v>13</v>
      </c>
      <c r="H11" s="18" t="s">
        <v>13</v>
      </c>
      <c r="I11" s="18">
        <v>1.67</v>
      </c>
      <c r="J11" s="19"/>
      <c r="K11" s="20">
        <v>804.53</v>
      </c>
      <c r="L11" s="19"/>
      <c r="M11" s="18">
        <v>1.04</v>
      </c>
      <c r="N11" s="18">
        <v>2.37</v>
      </c>
    </row>
    <row r="12" spans="1:14" ht="14.25" customHeight="1" x14ac:dyDescent="0.35">
      <c r="A12" s="17" t="s">
        <v>528</v>
      </c>
      <c r="B12" s="18">
        <v>-7.0000000000000007E-2</v>
      </c>
      <c r="C12" s="18">
        <v>0.99</v>
      </c>
      <c r="D12" s="18">
        <v>11.07</v>
      </c>
      <c r="E12" s="18">
        <v>21.46</v>
      </c>
      <c r="F12" s="18">
        <v>-1.1499999999999999</v>
      </c>
      <c r="G12" s="18" t="s">
        <v>13</v>
      </c>
      <c r="H12" s="18" t="s">
        <v>13</v>
      </c>
      <c r="I12" s="18">
        <v>6.23</v>
      </c>
      <c r="J12" s="19"/>
      <c r="K12" s="20">
        <v>250.5</v>
      </c>
      <c r="L12" s="19"/>
      <c r="M12" s="18">
        <v>0.89</v>
      </c>
      <c r="N12" s="18">
        <v>2.4300000000000002</v>
      </c>
    </row>
    <row r="13" spans="1:14" ht="14.25" customHeight="1" x14ac:dyDescent="0.35">
      <c r="A13" s="17" t="s">
        <v>529</v>
      </c>
      <c r="B13" s="18">
        <v>0.11</v>
      </c>
      <c r="C13" s="18">
        <v>8.7100000000000009</v>
      </c>
      <c r="D13" s="18">
        <v>14.22</v>
      </c>
      <c r="E13" s="18">
        <v>1.87</v>
      </c>
      <c r="F13" s="18">
        <v>-2.11</v>
      </c>
      <c r="G13" s="18">
        <v>11.37</v>
      </c>
      <c r="H13" s="18">
        <v>8.7899999999999991</v>
      </c>
      <c r="I13" s="18">
        <v>18.71</v>
      </c>
      <c r="J13" s="19"/>
      <c r="K13" s="20">
        <v>4017.71</v>
      </c>
      <c r="L13" s="19"/>
      <c r="M13" s="18">
        <v>0.94</v>
      </c>
      <c r="N13" s="18">
        <v>1.93</v>
      </c>
    </row>
    <row r="14" spans="1:14" ht="14.25" customHeight="1" x14ac:dyDescent="0.35">
      <c r="A14" s="17" t="s">
        <v>530</v>
      </c>
      <c r="B14" s="18">
        <v>0.13</v>
      </c>
      <c r="C14" s="18">
        <v>6.78</v>
      </c>
      <c r="D14" s="18">
        <v>14.26</v>
      </c>
      <c r="E14" s="18">
        <v>0.61</v>
      </c>
      <c r="F14" s="18">
        <v>-5.62</v>
      </c>
      <c r="G14" s="18">
        <v>8.1300000000000008</v>
      </c>
      <c r="H14" s="18">
        <v>6.13</v>
      </c>
      <c r="I14" s="18">
        <v>16.43</v>
      </c>
      <c r="J14" s="19"/>
      <c r="K14" s="20">
        <v>9196.15</v>
      </c>
      <c r="L14" s="19"/>
      <c r="M14" s="18">
        <v>0.56000000000000005</v>
      </c>
      <c r="N14" s="18">
        <v>1.74</v>
      </c>
    </row>
    <row r="15" spans="1:14" ht="14.25" customHeight="1" x14ac:dyDescent="0.35">
      <c r="A15" s="17" t="s">
        <v>531</v>
      </c>
      <c r="B15" s="18">
        <v>1.86</v>
      </c>
      <c r="C15" s="18">
        <v>5.96</v>
      </c>
      <c r="D15" s="18">
        <v>19.39</v>
      </c>
      <c r="E15" s="18">
        <v>11.02</v>
      </c>
      <c r="F15" s="18">
        <v>4.3099999999999996</v>
      </c>
      <c r="G15" s="18" t="s">
        <v>13</v>
      </c>
      <c r="H15" s="18" t="s">
        <v>13</v>
      </c>
      <c r="I15" s="18">
        <v>4.26</v>
      </c>
      <c r="J15" s="19"/>
      <c r="K15" s="20">
        <v>428.16</v>
      </c>
      <c r="L15" s="19"/>
      <c r="M15" s="18">
        <v>0.64</v>
      </c>
      <c r="N15" s="18">
        <v>2.39</v>
      </c>
    </row>
    <row r="16" spans="1:14" ht="14.25" customHeight="1" x14ac:dyDescent="0.35">
      <c r="A16" s="21" t="s">
        <v>49</v>
      </c>
      <c r="B16" s="22">
        <f t="shared" ref="B16:I16" si="0">MEDIAN(B3:B15)</f>
        <v>0.56999999999999995</v>
      </c>
      <c r="C16" s="22">
        <f t="shared" si="0"/>
        <v>6.82</v>
      </c>
      <c r="D16" s="22">
        <f t="shared" si="0"/>
        <v>14.01</v>
      </c>
      <c r="E16" s="22">
        <f t="shared" si="0"/>
        <v>3.23</v>
      </c>
      <c r="F16" s="22">
        <f t="shared" si="0"/>
        <v>-1.56</v>
      </c>
      <c r="G16" s="22">
        <f t="shared" si="0"/>
        <v>8.93</v>
      </c>
      <c r="H16" s="22">
        <f t="shared" si="0"/>
        <v>6.13</v>
      </c>
      <c r="I16" s="22">
        <f t="shared" si="0"/>
        <v>13.23</v>
      </c>
    </row>
    <row r="17" spans="1:9" ht="14.25" customHeight="1" x14ac:dyDescent="0.35">
      <c r="A17" s="2" t="s">
        <v>50</v>
      </c>
      <c r="B17" s="5" t="s">
        <v>13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</row>
    <row r="18" spans="1:9" ht="14.25" customHeight="1" x14ac:dyDescent="0.35">
      <c r="A18" s="23" t="s">
        <v>129</v>
      </c>
      <c r="B18" s="24">
        <f>Financials!B33</f>
        <v>-0.48</v>
      </c>
      <c r="C18" s="24">
        <f>Financials!C33</f>
        <v>1.92</v>
      </c>
      <c r="D18" s="24">
        <f>Financials!D33</f>
        <v>4.93</v>
      </c>
      <c r="E18" s="24">
        <f>Financials!E33</f>
        <v>1.85</v>
      </c>
      <c r="F18" s="24">
        <f>Financials!F33</f>
        <v>4.99</v>
      </c>
      <c r="G18" s="24">
        <f>Financials!G33</f>
        <v>13</v>
      </c>
      <c r="H18" s="24">
        <f>Financials!H33</f>
        <v>12.02</v>
      </c>
      <c r="I18" s="28"/>
    </row>
    <row r="19" spans="1:9" ht="14.25" customHeight="1" x14ac:dyDescent="0.35">
      <c r="A19" s="23" t="s">
        <v>452</v>
      </c>
      <c r="B19" s="24">
        <f>'BenchMark Returns'!B21</f>
        <v>1.56</v>
      </c>
      <c r="C19" s="24">
        <f>'BenchMark Returns'!C21</f>
        <v>7.69</v>
      </c>
      <c r="D19" s="24">
        <f>'BenchMark Returns'!D21</f>
        <v>15.94</v>
      </c>
      <c r="E19" s="24">
        <f>'BenchMark Returns'!E21</f>
        <v>4.37</v>
      </c>
      <c r="F19" s="24">
        <f>'BenchMark Returns'!F21</f>
        <v>-0.31</v>
      </c>
      <c r="G19" s="24">
        <f>'BenchMark Returns'!G21</f>
        <v>12.64</v>
      </c>
      <c r="H19" s="24">
        <f>'BenchMark Returns'!H21</f>
        <v>7.87</v>
      </c>
      <c r="I19" s="28"/>
    </row>
    <row r="20" spans="1:9" ht="14.25" customHeight="1" x14ac:dyDescent="0.35">
      <c r="A20" s="23" t="s">
        <v>455</v>
      </c>
      <c r="B20" s="24">
        <f>'BenchMark Returns'!B24</f>
        <v>-0.6</v>
      </c>
      <c r="C20" s="24">
        <f>'BenchMark Returns'!C24</f>
        <v>9.17</v>
      </c>
      <c r="D20" s="24">
        <f>'BenchMark Returns'!D24</f>
        <v>14.61</v>
      </c>
      <c r="E20" s="24">
        <f>'BenchMark Returns'!E24</f>
        <v>-4.03</v>
      </c>
      <c r="F20" s="24">
        <f>'BenchMark Returns'!F24</f>
        <v>-9.98</v>
      </c>
      <c r="G20" s="24">
        <f>'BenchMark Returns'!G24</f>
        <v>0.35</v>
      </c>
      <c r="H20" s="24">
        <f>'BenchMark Returns'!H24</f>
        <v>-0.82</v>
      </c>
      <c r="I20" s="28"/>
    </row>
  </sheetData>
  <mergeCells count="1">
    <mergeCell ref="M1:N1"/>
  </mergeCells>
  <conditionalFormatting sqref="F3:F15">
    <cfRule type="expression" dxfId="29" priority="2">
      <formula>AND(ISNUMBER(F3),F3&gt;MEDIAN($F$3:$F$15))</formula>
    </cfRule>
  </conditionalFormatting>
  <conditionalFormatting sqref="G3:G15">
    <cfRule type="expression" dxfId="28" priority="3">
      <formula>AND(ISNUMBER(G3),G3&gt;MEDIAN($G$3:$G$15))</formula>
    </cfRule>
  </conditionalFormatting>
  <conditionalFormatting sqref="H3:H15">
    <cfRule type="expression" dxfId="27" priority="4">
      <formula>AND(ISNUMBER(H3),H3&gt;MEDIAN($H$3:$H$15))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4"/>
  <sheetViews>
    <sheetView zoomScale="70" zoomScaleNormal="70" workbookViewId="0">
      <selection activeCell="I15" sqref="I15"/>
    </sheetView>
  </sheetViews>
  <sheetFormatPr defaultColWidth="8.54296875" defaultRowHeight="14.5" x14ac:dyDescent="0.35"/>
  <cols>
    <col min="1" max="1" width="59.72656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453125" customWidth="1"/>
    <col min="11" max="11" width="12.90625" customWidth="1"/>
    <col min="12" max="12" width="3.5429687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532</v>
      </c>
      <c r="B3" s="18">
        <v>0.28999999999999998</v>
      </c>
      <c r="C3" s="18">
        <v>2.74</v>
      </c>
      <c r="D3" s="18">
        <v>9.8699999999999992</v>
      </c>
      <c r="E3" s="18">
        <v>20.96</v>
      </c>
      <c r="F3" s="18">
        <v>17.559999999999999</v>
      </c>
      <c r="G3" s="18">
        <v>22.53</v>
      </c>
      <c r="H3" s="18">
        <v>15.34</v>
      </c>
      <c r="I3" s="18">
        <v>21.91</v>
      </c>
      <c r="J3" s="19"/>
      <c r="K3" s="20">
        <v>1010.54</v>
      </c>
      <c r="L3" s="19"/>
      <c r="M3" s="18">
        <v>1.02</v>
      </c>
      <c r="N3" s="18">
        <v>2.2999999999999998</v>
      </c>
    </row>
    <row r="4" spans="1:14" ht="14.25" customHeight="1" x14ac:dyDescent="0.35">
      <c r="A4" s="17" t="s">
        <v>533</v>
      </c>
      <c r="B4" s="18">
        <v>0.3</v>
      </c>
      <c r="C4" s="18">
        <v>4.76</v>
      </c>
      <c r="D4" s="18">
        <v>12.83</v>
      </c>
      <c r="E4" s="18">
        <v>24.7</v>
      </c>
      <c r="F4" s="18">
        <v>21.42</v>
      </c>
      <c r="G4" s="18" t="s">
        <v>13</v>
      </c>
      <c r="H4" s="18" t="s">
        <v>13</v>
      </c>
      <c r="I4" s="18">
        <v>11.7</v>
      </c>
      <c r="J4" s="19"/>
      <c r="K4" s="20">
        <v>354.03</v>
      </c>
      <c r="L4" s="19"/>
      <c r="M4" s="18">
        <v>0.74</v>
      </c>
      <c r="N4" s="18">
        <v>2.39</v>
      </c>
    </row>
    <row r="5" spans="1:14" ht="14.25" customHeight="1" x14ac:dyDescent="0.35">
      <c r="A5" s="17" t="s">
        <v>534</v>
      </c>
      <c r="B5" s="18">
        <v>0.54</v>
      </c>
      <c r="C5" s="18">
        <v>2.78</v>
      </c>
      <c r="D5" s="18">
        <v>9.76</v>
      </c>
      <c r="E5" s="18">
        <v>19.579999999999998</v>
      </c>
      <c r="F5" s="18" t="s">
        <v>13</v>
      </c>
      <c r="G5" s="18" t="s">
        <v>13</v>
      </c>
      <c r="H5" s="18" t="s">
        <v>13</v>
      </c>
      <c r="I5" s="18">
        <v>13.68</v>
      </c>
      <c r="J5" s="19"/>
      <c r="K5" s="20">
        <v>322.43</v>
      </c>
      <c r="L5" s="19"/>
      <c r="M5" s="18">
        <v>0.71</v>
      </c>
      <c r="N5" s="18">
        <v>2.41</v>
      </c>
    </row>
    <row r="6" spans="1:14" ht="14.25" customHeight="1" x14ac:dyDescent="0.35">
      <c r="A6" s="17" t="s">
        <v>535</v>
      </c>
      <c r="B6" s="18">
        <v>-0.79</v>
      </c>
      <c r="C6" s="18">
        <v>1.06</v>
      </c>
      <c r="D6" s="18">
        <v>8.3000000000000007</v>
      </c>
      <c r="E6" s="18">
        <v>15.5</v>
      </c>
      <c r="F6" s="18">
        <v>10.48</v>
      </c>
      <c r="G6" s="18" t="s">
        <v>13</v>
      </c>
      <c r="H6" s="18" t="s">
        <v>13</v>
      </c>
      <c r="I6" s="18">
        <v>7.98</v>
      </c>
      <c r="J6" s="19"/>
      <c r="K6" s="20">
        <v>553.16999999999996</v>
      </c>
      <c r="L6" s="19"/>
      <c r="M6" s="18">
        <v>0.6</v>
      </c>
      <c r="N6" s="18">
        <v>2.33</v>
      </c>
    </row>
    <row r="7" spans="1:14" ht="14.25" customHeight="1" x14ac:dyDescent="0.35">
      <c r="A7" s="17" t="s">
        <v>536</v>
      </c>
      <c r="B7" s="18">
        <v>2.11</v>
      </c>
      <c r="C7" s="18">
        <v>3.16</v>
      </c>
      <c r="D7" s="18">
        <v>13.91</v>
      </c>
      <c r="E7" s="18">
        <v>23.6</v>
      </c>
      <c r="F7" s="18">
        <v>16.100000000000001</v>
      </c>
      <c r="G7" s="18">
        <v>22.21</v>
      </c>
      <c r="H7" s="18">
        <v>16.559999999999999</v>
      </c>
      <c r="I7" s="18">
        <v>23.52</v>
      </c>
      <c r="J7" s="19"/>
      <c r="K7" s="20">
        <v>3514.02</v>
      </c>
      <c r="L7" s="19"/>
      <c r="M7" s="18">
        <v>0.62</v>
      </c>
      <c r="N7" s="18">
        <v>1.94</v>
      </c>
    </row>
    <row r="8" spans="1:14" ht="14.25" customHeight="1" x14ac:dyDescent="0.35">
      <c r="A8" s="17" t="s">
        <v>537</v>
      </c>
      <c r="B8" s="18">
        <v>-0.14000000000000001</v>
      </c>
      <c r="C8" s="18">
        <v>3.11</v>
      </c>
      <c r="D8" s="18">
        <v>11.42</v>
      </c>
      <c r="E8" s="18">
        <v>25.21</v>
      </c>
      <c r="F8" s="18">
        <v>25.04</v>
      </c>
      <c r="G8" s="18" t="s">
        <v>13</v>
      </c>
      <c r="H8" s="18" t="s">
        <v>13</v>
      </c>
      <c r="I8" s="18">
        <v>32.200000000000003</v>
      </c>
      <c r="J8" s="19"/>
      <c r="K8" s="20">
        <v>2611.33</v>
      </c>
      <c r="L8" s="19"/>
      <c r="M8" s="18">
        <v>0.94</v>
      </c>
      <c r="N8" s="18">
        <v>2.1</v>
      </c>
    </row>
    <row r="9" spans="1:14" ht="14.25" customHeight="1" x14ac:dyDescent="0.35">
      <c r="A9" s="17" t="s">
        <v>538</v>
      </c>
      <c r="B9" s="18">
        <v>-0.75</v>
      </c>
      <c r="C9" s="18">
        <v>-0.15</v>
      </c>
      <c r="D9" s="18">
        <v>4.6100000000000003</v>
      </c>
      <c r="E9" s="18">
        <v>15.66</v>
      </c>
      <c r="F9" s="18">
        <v>9.0399999999999991</v>
      </c>
      <c r="G9" s="18">
        <v>23.45</v>
      </c>
      <c r="H9" s="18">
        <v>16.920000000000002</v>
      </c>
      <c r="I9" s="18">
        <v>21.2</v>
      </c>
      <c r="J9" s="19"/>
      <c r="K9" s="20">
        <v>6624.58</v>
      </c>
      <c r="L9" s="19"/>
      <c r="M9" s="18">
        <v>1.05</v>
      </c>
      <c r="N9" s="18">
        <v>1.87</v>
      </c>
    </row>
    <row r="10" spans="1:14" ht="14.25" customHeight="1" x14ac:dyDescent="0.35">
      <c r="A10" s="17" t="s">
        <v>539</v>
      </c>
      <c r="B10" s="18">
        <v>-0.79</v>
      </c>
      <c r="C10" s="18">
        <v>2.58</v>
      </c>
      <c r="D10" s="18">
        <v>8.2200000000000006</v>
      </c>
      <c r="E10" s="18">
        <v>20.71</v>
      </c>
      <c r="F10" s="18">
        <v>12.39</v>
      </c>
      <c r="G10" s="18">
        <v>20.309999999999999</v>
      </c>
      <c r="H10" s="18" t="s">
        <v>13</v>
      </c>
      <c r="I10" s="18">
        <v>15.45</v>
      </c>
      <c r="J10" s="19"/>
      <c r="K10" s="20">
        <v>251.87</v>
      </c>
      <c r="L10" s="19"/>
      <c r="M10" s="18">
        <v>0.47</v>
      </c>
      <c r="N10" s="18">
        <v>2.35</v>
      </c>
    </row>
    <row r="11" spans="1:14" ht="14.25" customHeight="1" x14ac:dyDescent="0.35">
      <c r="A11" s="17" t="s">
        <v>540</v>
      </c>
      <c r="B11" s="18">
        <v>0.37</v>
      </c>
      <c r="C11" s="18">
        <v>2.82</v>
      </c>
      <c r="D11" s="18">
        <v>12.03</v>
      </c>
      <c r="E11" s="18">
        <v>26.22</v>
      </c>
      <c r="F11" s="18">
        <v>24.5</v>
      </c>
      <c r="G11" s="18" t="s">
        <v>13</v>
      </c>
      <c r="H11" s="18" t="s">
        <v>13</v>
      </c>
      <c r="I11" s="18">
        <v>23.01</v>
      </c>
      <c r="J11" s="19"/>
      <c r="K11" s="20">
        <v>678.41</v>
      </c>
      <c r="L11" s="19"/>
      <c r="M11" s="18">
        <v>0.74</v>
      </c>
      <c r="N11" s="18">
        <v>2.34</v>
      </c>
    </row>
    <row r="12" spans="1:14" ht="14.25" customHeight="1" x14ac:dyDescent="0.35">
      <c r="A12" s="17" t="s">
        <v>541</v>
      </c>
      <c r="B12" s="18">
        <v>-0.32</v>
      </c>
      <c r="C12" s="18">
        <v>3.73</v>
      </c>
      <c r="D12" s="18">
        <v>9.6999999999999993</v>
      </c>
      <c r="E12" s="18">
        <v>21.76</v>
      </c>
      <c r="F12" s="18">
        <v>15.69</v>
      </c>
      <c r="G12" s="18">
        <v>22.57</v>
      </c>
      <c r="H12" s="18">
        <v>13.16</v>
      </c>
      <c r="I12" s="18">
        <v>19.36</v>
      </c>
      <c r="J12" s="19"/>
      <c r="K12" s="20">
        <v>92.55</v>
      </c>
      <c r="L12" s="19"/>
      <c r="M12" s="18">
        <v>0.64</v>
      </c>
      <c r="N12" s="18">
        <v>2.36</v>
      </c>
    </row>
    <row r="13" spans="1:14" ht="14.25" customHeight="1" x14ac:dyDescent="0.35">
      <c r="A13" s="17" t="s">
        <v>542</v>
      </c>
      <c r="B13" s="18">
        <v>-0.46</v>
      </c>
      <c r="C13" s="18">
        <v>1.77</v>
      </c>
      <c r="D13" s="18">
        <v>7.94</v>
      </c>
      <c r="E13" s="18">
        <v>21.47</v>
      </c>
      <c r="F13" s="18">
        <v>18.559999999999999</v>
      </c>
      <c r="G13" s="18">
        <v>23.22</v>
      </c>
      <c r="H13" s="18">
        <v>16.25</v>
      </c>
      <c r="I13" s="18">
        <v>22.35</v>
      </c>
      <c r="J13" s="19"/>
      <c r="K13" s="20">
        <v>3252.54</v>
      </c>
      <c r="L13" s="19"/>
      <c r="M13" s="18">
        <v>0.51</v>
      </c>
      <c r="N13" s="18">
        <v>1.94</v>
      </c>
    </row>
    <row r="14" spans="1:14" ht="14.25" customHeight="1" x14ac:dyDescent="0.35">
      <c r="A14" s="17" t="s">
        <v>543</v>
      </c>
      <c r="B14" s="18">
        <v>0.39</v>
      </c>
      <c r="C14" s="18">
        <v>1.59</v>
      </c>
      <c r="D14" s="18">
        <v>5.85</v>
      </c>
      <c r="E14" s="18">
        <v>14.47</v>
      </c>
      <c r="F14" s="18">
        <v>11.3</v>
      </c>
      <c r="G14" s="18">
        <v>19.16</v>
      </c>
      <c r="H14" s="18">
        <v>14.41</v>
      </c>
      <c r="I14" s="18">
        <v>17.75</v>
      </c>
      <c r="J14" s="19"/>
      <c r="K14" s="20">
        <v>9044.23</v>
      </c>
      <c r="L14" s="19"/>
      <c r="M14" s="18">
        <v>0.93</v>
      </c>
      <c r="N14" s="18">
        <v>1.82</v>
      </c>
    </row>
    <row r="15" spans="1:14" ht="14.25" customHeight="1" x14ac:dyDescent="0.35">
      <c r="A15" s="17" t="s">
        <v>544</v>
      </c>
      <c r="B15" s="18">
        <v>0.08</v>
      </c>
      <c r="C15" s="18">
        <v>4.5999999999999996</v>
      </c>
      <c r="D15" s="18">
        <v>13.12</v>
      </c>
      <c r="E15" s="18">
        <v>25.74</v>
      </c>
      <c r="F15" s="18">
        <v>24.01</v>
      </c>
      <c r="G15" s="18" t="s">
        <v>13</v>
      </c>
      <c r="H15" s="18" t="s">
        <v>13</v>
      </c>
      <c r="I15" s="18">
        <v>14.14</v>
      </c>
      <c r="J15" s="19"/>
      <c r="K15" s="20">
        <v>103.24</v>
      </c>
      <c r="L15" s="19"/>
      <c r="M15" s="18">
        <v>0.65</v>
      </c>
      <c r="N15" s="18">
        <v>2.37</v>
      </c>
    </row>
    <row r="16" spans="1:14" ht="14.25" customHeight="1" x14ac:dyDescent="0.35">
      <c r="A16" s="17" t="s">
        <v>545</v>
      </c>
      <c r="B16" s="18">
        <v>0.22</v>
      </c>
      <c r="C16" s="18">
        <v>2.96</v>
      </c>
      <c r="D16" s="18">
        <v>9.74</v>
      </c>
      <c r="E16" s="18">
        <v>21.84</v>
      </c>
      <c r="F16" s="18">
        <v>20.03</v>
      </c>
      <c r="G16" s="18">
        <v>21.45</v>
      </c>
      <c r="H16" s="18" t="s">
        <v>13</v>
      </c>
      <c r="I16" s="18">
        <v>22.52</v>
      </c>
      <c r="J16" s="19"/>
      <c r="K16" s="20">
        <v>391.06</v>
      </c>
      <c r="L16" s="19"/>
      <c r="M16" s="18">
        <v>0.83</v>
      </c>
      <c r="N16" s="18">
        <v>2.42</v>
      </c>
    </row>
    <row r="17" spans="1:14" ht="14.25" customHeight="1" x14ac:dyDescent="0.35">
      <c r="A17" s="17" t="s">
        <v>546</v>
      </c>
      <c r="B17" s="18">
        <v>0.36</v>
      </c>
      <c r="C17" s="18">
        <v>3.8</v>
      </c>
      <c r="D17" s="18">
        <v>12.78</v>
      </c>
      <c r="E17" s="18">
        <v>25.12</v>
      </c>
      <c r="F17" s="18">
        <v>21.56</v>
      </c>
      <c r="G17" s="18">
        <v>24.67</v>
      </c>
      <c r="H17" s="18">
        <v>19.079999999999998</v>
      </c>
      <c r="I17" s="18">
        <v>18.420000000000002</v>
      </c>
      <c r="J17" s="19"/>
      <c r="K17" s="20">
        <v>4997.72</v>
      </c>
      <c r="L17" s="19"/>
      <c r="M17" s="18">
        <v>0.92</v>
      </c>
      <c r="N17" s="18">
        <v>1.93</v>
      </c>
    </row>
    <row r="18" spans="1:14" ht="14.25" customHeight="1" x14ac:dyDescent="0.35">
      <c r="A18" s="17" t="s">
        <v>547</v>
      </c>
      <c r="B18" s="18">
        <v>-0.55000000000000004</v>
      </c>
      <c r="C18" s="18">
        <v>1.5</v>
      </c>
      <c r="D18" s="18">
        <v>6.85</v>
      </c>
      <c r="E18" s="18">
        <v>14.86</v>
      </c>
      <c r="F18" s="18">
        <v>9.93</v>
      </c>
      <c r="G18" s="18">
        <v>20.34</v>
      </c>
      <c r="H18" s="18">
        <v>15.52</v>
      </c>
      <c r="I18" s="18">
        <v>13.85</v>
      </c>
      <c r="J18" s="19"/>
      <c r="K18" s="20">
        <v>1455.16</v>
      </c>
      <c r="L18" s="19"/>
      <c r="M18" s="18">
        <v>0.72</v>
      </c>
      <c r="N18" s="18">
        <v>2.15</v>
      </c>
    </row>
    <row r="19" spans="1:14" ht="14.25" customHeight="1" x14ac:dyDescent="0.35">
      <c r="A19" s="17" t="s">
        <v>548</v>
      </c>
      <c r="B19" s="18">
        <v>0.79</v>
      </c>
      <c r="C19" s="18">
        <v>2.78</v>
      </c>
      <c r="D19" s="18">
        <v>11.37</v>
      </c>
      <c r="E19" s="18">
        <v>22.63</v>
      </c>
      <c r="F19" s="18">
        <v>16.87</v>
      </c>
      <c r="G19" s="18">
        <v>24.64</v>
      </c>
      <c r="H19" s="18">
        <v>16.760000000000002</v>
      </c>
      <c r="I19" s="18">
        <v>16.649999999999999</v>
      </c>
      <c r="J19" s="19"/>
      <c r="K19" s="20">
        <v>1307.98</v>
      </c>
      <c r="L19" s="19"/>
      <c r="M19" s="18">
        <v>1.3</v>
      </c>
      <c r="N19" s="18">
        <v>2.2799999999999998</v>
      </c>
    </row>
    <row r="20" spans="1:14" ht="14.25" customHeight="1" x14ac:dyDescent="0.35">
      <c r="A20" s="17" t="s">
        <v>549</v>
      </c>
      <c r="B20" s="18">
        <v>0.4</v>
      </c>
      <c r="C20" s="18">
        <v>3.6</v>
      </c>
      <c r="D20" s="18">
        <v>12.39</v>
      </c>
      <c r="E20" s="18">
        <v>24.55</v>
      </c>
      <c r="F20" s="18">
        <v>21.76</v>
      </c>
      <c r="G20" s="18" t="s">
        <v>13</v>
      </c>
      <c r="H20" s="18" t="s">
        <v>13</v>
      </c>
      <c r="I20" s="18">
        <v>24.95</v>
      </c>
      <c r="J20" s="19"/>
      <c r="K20" s="20">
        <v>741.34</v>
      </c>
      <c r="L20" s="19"/>
      <c r="M20" s="18">
        <v>0.67</v>
      </c>
      <c r="N20" s="18">
        <v>2.35</v>
      </c>
    </row>
    <row r="21" spans="1:14" ht="14.25" customHeight="1" x14ac:dyDescent="0.35">
      <c r="A21" s="21" t="s">
        <v>49</v>
      </c>
      <c r="B21" s="22">
        <f t="shared" ref="B21:I21" si="0">MEDIAN(B3:B20)</f>
        <v>0.255</v>
      </c>
      <c r="C21" s="22">
        <f t="shared" si="0"/>
        <v>2.8</v>
      </c>
      <c r="D21" s="22">
        <f t="shared" si="0"/>
        <v>9.8149999999999995</v>
      </c>
      <c r="E21" s="22">
        <f t="shared" si="0"/>
        <v>21.8</v>
      </c>
      <c r="F21" s="22">
        <f t="shared" si="0"/>
        <v>17.559999999999999</v>
      </c>
      <c r="G21" s="22">
        <f t="shared" si="0"/>
        <v>22.53</v>
      </c>
      <c r="H21" s="22">
        <f t="shared" si="0"/>
        <v>16.25</v>
      </c>
      <c r="I21" s="22">
        <f t="shared" si="0"/>
        <v>18.89</v>
      </c>
    </row>
    <row r="22" spans="1:14" x14ac:dyDescent="0.35">
      <c r="A22" s="2" t="s">
        <v>50</v>
      </c>
      <c r="B22" s="5" t="s">
        <v>13</v>
      </c>
      <c r="C22" s="5" t="s">
        <v>13</v>
      </c>
      <c r="D22" s="5" t="s">
        <v>13</v>
      </c>
      <c r="E22" s="5" t="s">
        <v>13</v>
      </c>
      <c r="F22" s="5" t="s">
        <v>13</v>
      </c>
      <c r="G22" s="5" t="s">
        <v>13</v>
      </c>
      <c r="H22" s="5" t="s">
        <v>13</v>
      </c>
      <c r="I22" s="5" t="s">
        <v>13</v>
      </c>
    </row>
    <row r="23" spans="1:14" ht="14.25" customHeight="1" x14ac:dyDescent="0.35">
      <c r="A23" s="23" t="s">
        <v>129</v>
      </c>
      <c r="B23" s="24">
        <f>'BenchMark Returns'!B10</f>
        <v>-0.48</v>
      </c>
      <c r="C23" s="24">
        <f>'BenchMark Returns'!C10</f>
        <v>1.92</v>
      </c>
      <c r="D23" s="24">
        <f>'BenchMark Returns'!D10</f>
        <v>4.93</v>
      </c>
      <c r="E23" s="24">
        <f>'BenchMark Returns'!E10</f>
        <v>1.85</v>
      </c>
      <c r="F23" s="24">
        <f>'BenchMark Returns'!F10</f>
        <v>4.99</v>
      </c>
      <c r="G23" s="24">
        <f>'BenchMark Returns'!G10</f>
        <v>13</v>
      </c>
      <c r="H23" s="24">
        <f>'BenchMark Returns'!H10</f>
        <v>12.02</v>
      </c>
    </row>
    <row r="24" spans="1:14" ht="14.25" customHeight="1" x14ac:dyDescent="0.35">
      <c r="A24" s="23" t="s">
        <v>449</v>
      </c>
      <c r="B24" s="24">
        <f>'BenchMark Returns'!B18</f>
        <v>-1.22</v>
      </c>
      <c r="C24" s="24">
        <f>'BenchMark Returns'!C18</f>
        <v>0.39</v>
      </c>
      <c r="D24" s="24">
        <f>'BenchMark Returns'!D18</f>
        <v>5.05</v>
      </c>
      <c r="E24" s="24">
        <f>'BenchMark Returns'!E18</f>
        <v>14.67</v>
      </c>
      <c r="F24" s="24">
        <f>'BenchMark Returns'!F18</f>
        <v>12.7</v>
      </c>
      <c r="G24" s="24">
        <f>'BenchMark Returns'!G18</f>
        <v>19.98</v>
      </c>
      <c r="H24" s="24">
        <f>'BenchMark Returns'!H18</f>
        <v>13.32</v>
      </c>
    </row>
  </sheetData>
  <mergeCells count="1">
    <mergeCell ref="M1:N1"/>
  </mergeCells>
  <conditionalFormatting sqref="F3:F20">
    <cfRule type="expression" dxfId="26" priority="2">
      <formula>AND(ISNUMBER(F3),F3&gt;MEDIAN($F$3:$F$20))</formula>
    </cfRule>
  </conditionalFormatting>
  <conditionalFormatting sqref="G3:G20">
    <cfRule type="expression" dxfId="25" priority="3">
      <formula>AND(ISNUMBER(G3),G3&gt;MEDIAN($G$3:$G$20))</formula>
    </cfRule>
  </conditionalFormatting>
  <conditionalFormatting sqref="H3:H20">
    <cfRule type="expression" dxfId="24" priority="4">
      <formula>AND(ISNUMBER(H3),H3&gt;MEDIAN($H$3:$H$20))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6"/>
  <sheetViews>
    <sheetView zoomScale="80" zoomScaleNormal="80" workbookViewId="0">
      <selection activeCell="I21" sqref="I21"/>
    </sheetView>
  </sheetViews>
  <sheetFormatPr defaultColWidth="8.54296875" defaultRowHeight="14.5" x14ac:dyDescent="0.35"/>
  <cols>
    <col min="1" max="1" width="50.542968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1796875" customWidth="1"/>
    <col min="11" max="11" width="12.90625" customWidth="1"/>
    <col min="12" max="12" width="3.0898437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550</v>
      </c>
      <c r="B3" s="18">
        <v>-7.0000000000000007E-2</v>
      </c>
      <c r="C3" s="18">
        <v>3.51</v>
      </c>
      <c r="D3" s="18">
        <v>8.41</v>
      </c>
      <c r="E3" s="18">
        <v>14.1</v>
      </c>
      <c r="F3" s="18">
        <v>17.420000000000002</v>
      </c>
      <c r="G3" s="18">
        <v>20.059999999999999</v>
      </c>
      <c r="H3" s="18">
        <v>19.399999999999999</v>
      </c>
      <c r="I3" s="18">
        <v>15.96</v>
      </c>
      <c r="J3" s="19"/>
      <c r="K3" s="20">
        <v>1233.5899999999999</v>
      </c>
      <c r="L3" s="19"/>
      <c r="M3" s="17">
        <v>1.42</v>
      </c>
      <c r="N3" s="17">
        <v>2.2799999999999998</v>
      </c>
    </row>
    <row r="4" spans="1:14" ht="14.25" customHeight="1" x14ac:dyDescent="0.35">
      <c r="A4" s="17" t="s">
        <v>551</v>
      </c>
      <c r="B4" s="18">
        <v>-0.49</v>
      </c>
      <c r="C4" s="18">
        <v>-0.49</v>
      </c>
      <c r="D4" s="18">
        <v>3.87</v>
      </c>
      <c r="E4" s="18">
        <v>6.01</v>
      </c>
      <c r="F4" s="18">
        <v>3.09</v>
      </c>
      <c r="G4" s="18">
        <v>18.38</v>
      </c>
      <c r="H4" s="18">
        <v>17.93</v>
      </c>
      <c r="I4" s="18">
        <v>14.91</v>
      </c>
      <c r="J4" s="19"/>
      <c r="K4" s="20">
        <v>1545.49</v>
      </c>
      <c r="L4" s="19"/>
      <c r="M4" s="17">
        <v>0.97</v>
      </c>
      <c r="N4" s="17">
        <v>2.1800000000000002</v>
      </c>
    </row>
    <row r="5" spans="1:14" ht="14.25" customHeight="1" x14ac:dyDescent="0.35">
      <c r="A5" s="17" t="s">
        <v>552</v>
      </c>
      <c r="B5" s="18">
        <v>-0.12</v>
      </c>
      <c r="C5" s="18">
        <v>1.56</v>
      </c>
      <c r="D5" s="18">
        <v>1.45</v>
      </c>
      <c r="E5" s="18">
        <v>5.9</v>
      </c>
      <c r="F5" s="18">
        <v>8.5399999999999991</v>
      </c>
      <c r="G5" s="18">
        <v>22.6</v>
      </c>
      <c r="H5" s="18">
        <v>21.48</v>
      </c>
      <c r="I5" s="18">
        <v>16.940000000000001</v>
      </c>
      <c r="J5" s="19"/>
      <c r="K5" s="20">
        <v>998.07</v>
      </c>
      <c r="L5" s="19"/>
      <c r="M5" s="17">
        <v>1.07</v>
      </c>
      <c r="N5" s="17">
        <v>2.31</v>
      </c>
    </row>
    <row r="6" spans="1:14" ht="14.25" customHeight="1" x14ac:dyDescent="0.35">
      <c r="A6" s="17" t="s">
        <v>553</v>
      </c>
      <c r="B6" s="18">
        <v>-0.5</v>
      </c>
      <c r="C6" s="18">
        <v>-0.8</v>
      </c>
      <c r="D6" s="18">
        <v>-0.53</v>
      </c>
      <c r="E6" s="18">
        <v>-1.23</v>
      </c>
      <c r="F6" s="18">
        <v>4.41</v>
      </c>
      <c r="G6" s="18">
        <v>20.010000000000002</v>
      </c>
      <c r="H6" s="18">
        <v>20.55</v>
      </c>
      <c r="I6" s="18">
        <v>20.260000000000002</v>
      </c>
      <c r="J6" s="19"/>
      <c r="K6" s="20">
        <v>3255.73</v>
      </c>
      <c r="L6" s="19"/>
      <c r="M6" s="17">
        <v>0.99</v>
      </c>
      <c r="N6" s="17">
        <v>2</v>
      </c>
    </row>
    <row r="7" spans="1:14" ht="14.25" customHeight="1" x14ac:dyDescent="0.35">
      <c r="A7" s="17" t="s">
        <v>554</v>
      </c>
      <c r="B7" s="18">
        <v>0.65</v>
      </c>
      <c r="C7" s="18">
        <v>5.49</v>
      </c>
      <c r="D7" s="18">
        <v>11.37</v>
      </c>
      <c r="E7" s="18">
        <v>27.28</v>
      </c>
      <c r="F7" s="18">
        <v>31.22</v>
      </c>
      <c r="G7" s="18">
        <v>41.91</v>
      </c>
      <c r="H7" s="18" t="s">
        <v>13</v>
      </c>
      <c r="I7" s="18">
        <v>43.25</v>
      </c>
      <c r="J7" s="19"/>
      <c r="K7" s="20">
        <v>10529.25</v>
      </c>
      <c r="L7" s="19"/>
      <c r="M7" s="17">
        <v>0.83</v>
      </c>
      <c r="N7" s="17">
        <v>1.82</v>
      </c>
    </row>
    <row r="8" spans="1:14" ht="14.25" customHeight="1" x14ac:dyDescent="0.35">
      <c r="A8" s="17" t="s">
        <v>555</v>
      </c>
      <c r="B8" s="18">
        <v>-0.3</v>
      </c>
      <c r="C8" s="18">
        <v>0.01</v>
      </c>
      <c r="D8" s="18">
        <v>1.34</v>
      </c>
      <c r="E8" s="18">
        <v>0.27</v>
      </c>
      <c r="F8" s="18">
        <v>1.23</v>
      </c>
      <c r="G8" s="18">
        <v>17.29</v>
      </c>
      <c r="H8" s="18">
        <v>20.58</v>
      </c>
      <c r="I8" s="18">
        <v>12.09</v>
      </c>
      <c r="J8" s="19"/>
      <c r="K8" s="20">
        <v>2444.21</v>
      </c>
      <c r="L8" s="19"/>
      <c r="M8" s="17">
        <v>1.19</v>
      </c>
      <c r="N8" s="17">
        <v>2.11</v>
      </c>
    </row>
    <row r="9" spans="1:14" ht="14.25" customHeight="1" x14ac:dyDescent="0.35">
      <c r="A9" s="17" t="s">
        <v>556</v>
      </c>
      <c r="B9" s="18">
        <v>0.91</v>
      </c>
      <c r="C9" s="18">
        <v>3.96</v>
      </c>
      <c r="D9" s="18">
        <v>2.82</v>
      </c>
      <c r="E9" s="18">
        <v>10.14</v>
      </c>
      <c r="F9" s="18">
        <v>13.01</v>
      </c>
      <c r="G9" s="18">
        <v>18.52</v>
      </c>
      <c r="H9" s="18">
        <v>20.329999999999998</v>
      </c>
      <c r="I9" s="18">
        <v>17.21</v>
      </c>
      <c r="J9" s="19"/>
      <c r="K9" s="20">
        <v>2452.94</v>
      </c>
      <c r="L9" s="19"/>
      <c r="M9" s="17">
        <v>1.02</v>
      </c>
      <c r="N9" s="17">
        <v>2.09</v>
      </c>
    </row>
    <row r="10" spans="1:14" ht="14.25" customHeight="1" x14ac:dyDescent="0.35">
      <c r="A10" s="17" t="s">
        <v>557</v>
      </c>
      <c r="B10" s="18">
        <v>-0.27</v>
      </c>
      <c r="C10" s="18">
        <v>0.62</v>
      </c>
      <c r="D10" s="18">
        <v>3.36</v>
      </c>
      <c r="E10" s="18">
        <v>4.63</v>
      </c>
      <c r="F10" s="18">
        <v>7.06</v>
      </c>
      <c r="G10" s="18">
        <v>20.41</v>
      </c>
      <c r="H10" s="18">
        <v>23.39</v>
      </c>
      <c r="I10" s="18">
        <v>16.47</v>
      </c>
      <c r="J10" s="19"/>
      <c r="K10" s="20">
        <v>8549.7099999999991</v>
      </c>
      <c r="L10" s="19"/>
      <c r="M10" s="17">
        <v>1.18</v>
      </c>
      <c r="N10" s="17">
        <v>1.86</v>
      </c>
    </row>
    <row r="11" spans="1:14" ht="14.25" customHeight="1" x14ac:dyDescent="0.35">
      <c r="A11" s="17" t="s">
        <v>558</v>
      </c>
      <c r="B11" s="18">
        <v>0.26</v>
      </c>
      <c r="C11" s="18">
        <v>3.24</v>
      </c>
      <c r="D11" s="18">
        <v>9.3800000000000008</v>
      </c>
      <c r="E11" s="18">
        <v>17.55</v>
      </c>
      <c r="F11" s="18">
        <v>12.1</v>
      </c>
      <c r="G11" s="18">
        <v>23.44</v>
      </c>
      <c r="H11" s="18">
        <v>21.15</v>
      </c>
      <c r="I11" s="18">
        <v>19.25</v>
      </c>
      <c r="J11" s="19"/>
      <c r="K11" s="20">
        <v>1568.25</v>
      </c>
      <c r="L11" s="19"/>
      <c r="M11" s="17">
        <v>0.95</v>
      </c>
      <c r="N11" s="17">
        <v>2.1800000000000002</v>
      </c>
    </row>
    <row r="12" spans="1:14" ht="14.25" customHeight="1" x14ac:dyDescent="0.35">
      <c r="A12" s="17" t="s">
        <v>559</v>
      </c>
      <c r="B12" s="18">
        <v>0.76</v>
      </c>
      <c r="C12" s="18">
        <v>3.36</v>
      </c>
      <c r="D12" s="18">
        <v>7.04</v>
      </c>
      <c r="E12" s="18">
        <v>9.15</v>
      </c>
      <c r="F12" s="18">
        <v>12.44</v>
      </c>
      <c r="G12" s="18">
        <v>18.18</v>
      </c>
      <c r="H12" s="18">
        <v>20.57</v>
      </c>
      <c r="I12" s="18">
        <v>17.91</v>
      </c>
      <c r="J12" s="19"/>
      <c r="K12" s="20">
        <v>2446.83</v>
      </c>
      <c r="L12" s="19"/>
      <c r="M12" s="17">
        <v>0.69</v>
      </c>
      <c r="N12" s="17">
        <v>2.04</v>
      </c>
    </row>
    <row r="13" spans="1:14" ht="14.25" customHeight="1" x14ac:dyDescent="0.35">
      <c r="A13" s="17" t="s">
        <v>560</v>
      </c>
      <c r="B13" s="18">
        <v>0.38</v>
      </c>
      <c r="C13" s="18">
        <v>2.57</v>
      </c>
      <c r="D13" s="18">
        <v>6.96</v>
      </c>
      <c r="E13" s="18">
        <v>11.58</v>
      </c>
      <c r="F13" s="18">
        <v>17.29</v>
      </c>
      <c r="G13" s="18">
        <v>27.38</v>
      </c>
      <c r="H13" s="18">
        <v>23.92</v>
      </c>
      <c r="I13" s="18">
        <v>16.12</v>
      </c>
      <c r="J13" s="19"/>
      <c r="K13" s="20">
        <v>1137.05</v>
      </c>
      <c r="L13" s="19"/>
      <c r="M13" s="17">
        <v>1.01</v>
      </c>
      <c r="N13" s="17">
        <v>2.38</v>
      </c>
    </row>
    <row r="14" spans="1:14" ht="14.25" customHeight="1" x14ac:dyDescent="0.35">
      <c r="A14" s="17" t="s">
        <v>561</v>
      </c>
      <c r="B14" s="18">
        <v>0.13</v>
      </c>
      <c r="C14" s="18">
        <v>3.68</v>
      </c>
      <c r="D14" s="18">
        <v>7.16</v>
      </c>
      <c r="E14" s="18">
        <v>12.2</v>
      </c>
      <c r="F14" s="18" t="s">
        <v>13</v>
      </c>
      <c r="G14" s="18" t="s">
        <v>13</v>
      </c>
      <c r="H14" s="18" t="s">
        <v>13</v>
      </c>
      <c r="I14" s="18">
        <v>15.03</v>
      </c>
      <c r="J14" s="19"/>
      <c r="K14" s="20">
        <v>446.61</v>
      </c>
      <c r="L14" s="19"/>
      <c r="M14" s="17">
        <v>0.75</v>
      </c>
      <c r="N14" s="17">
        <v>2.4</v>
      </c>
    </row>
    <row r="15" spans="1:14" ht="14.25" customHeight="1" x14ac:dyDescent="0.35">
      <c r="A15" s="17" t="s">
        <v>562</v>
      </c>
      <c r="B15" s="18">
        <v>0.19</v>
      </c>
      <c r="C15" s="18">
        <v>0.96</v>
      </c>
      <c r="D15" s="18">
        <v>0.26</v>
      </c>
      <c r="E15" s="18">
        <v>6.23</v>
      </c>
      <c r="F15" s="18">
        <v>11.69</v>
      </c>
      <c r="G15" s="18" t="s">
        <v>13</v>
      </c>
      <c r="H15" s="18" t="s">
        <v>13</v>
      </c>
      <c r="I15" s="18">
        <v>22.28</v>
      </c>
      <c r="J15" s="19"/>
      <c r="K15" s="20">
        <v>145.87</v>
      </c>
      <c r="L15" s="19"/>
      <c r="M15" s="17">
        <v>0.81</v>
      </c>
      <c r="N15" s="17">
        <v>2.36</v>
      </c>
    </row>
    <row r="16" spans="1:14" ht="14.25" customHeight="1" x14ac:dyDescent="0.35">
      <c r="A16" s="17" t="s">
        <v>563</v>
      </c>
      <c r="B16" s="18">
        <v>-0.48</v>
      </c>
      <c r="C16" s="18">
        <v>2.35</v>
      </c>
      <c r="D16" s="18">
        <v>2.35</v>
      </c>
      <c r="E16" s="18">
        <v>11.39</v>
      </c>
      <c r="F16" s="18">
        <v>15.54</v>
      </c>
      <c r="G16" s="18">
        <v>22.51</v>
      </c>
      <c r="H16" s="18">
        <v>23.03</v>
      </c>
      <c r="I16" s="18">
        <v>15.54</v>
      </c>
      <c r="J16" s="19"/>
      <c r="K16" s="20">
        <v>8043.44</v>
      </c>
      <c r="L16" s="19"/>
      <c r="M16" s="17">
        <v>0.98</v>
      </c>
      <c r="N16" s="17">
        <v>1.86</v>
      </c>
    </row>
    <row r="17" spans="1:14" ht="14.25" customHeight="1" x14ac:dyDescent="0.35">
      <c r="A17" s="17" t="s">
        <v>564</v>
      </c>
      <c r="B17" s="18">
        <v>-0.14000000000000001</v>
      </c>
      <c r="C17" s="18">
        <v>-1.73</v>
      </c>
      <c r="D17" s="18">
        <v>4.13</v>
      </c>
      <c r="E17" s="18">
        <v>14.03</v>
      </c>
      <c r="F17" s="18">
        <v>14.99</v>
      </c>
      <c r="G17" s="18">
        <v>20.13</v>
      </c>
      <c r="H17" s="18">
        <v>20.100000000000001</v>
      </c>
      <c r="I17" s="18">
        <v>17.29</v>
      </c>
      <c r="J17" s="19"/>
      <c r="K17" s="20">
        <v>3205.29</v>
      </c>
      <c r="L17" s="19"/>
      <c r="M17" s="17">
        <v>0.91</v>
      </c>
      <c r="N17" s="17">
        <v>2.04</v>
      </c>
    </row>
    <row r="18" spans="1:14" ht="14.25" customHeight="1" x14ac:dyDescent="0.35">
      <c r="A18" s="17" t="s">
        <v>565</v>
      </c>
      <c r="B18" s="18">
        <v>-0.21</v>
      </c>
      <c r="C18" s="18">
        <v>0.46</v>
      </c>
      <c r="D18" s="18">
        <v>1.82</v>
      </c>
      <c r="E18" s="18">
        <v>5.69</v>
      </c>
      <c r="F18" s="18">
        <v>8.32</v>
      </c>
      <c r="G18" s="18">
        <v>16.739999999999998</v>
      </c>
      <c r="H18" s="18">
        <v>18.07</v>
      </c>
      <c r="I18" s="18">
        <v>14.71</v>
      </c>
      <c r="J18" s="19"/>
      <c r="K18" s="20">
        <v>4852.12</v>
      </c>
      <c r="L18" s="19"/>
      <c r="M18" s="17">
        <v>1.04</v>
      </c>
      <c r="N18" s="17">
        <v>1.95</v>
      </c>
    </row>
    <row r="19" spans="1:14" ht="14.25" customHeight="1" x14ac:dyDescent="0.35">
      <c r="A19" s="17" t="s">
        <v>566</v>
      </c>
      <c r="B19" s="18">
        <v>0.44</v>
      </c>
      <c r="C19" s="18">
        <v>1.22</v>
      </c>
      <c r="D19" s="18">
        <v>1.85</v>
      </c>
      <c r="E19" s="18">
        <v>5.09</v>
      </c>
      <c r="F19" s="18">
        <v>10.52</v>
      </c>
      <c r="G19" s="18">
        <v>19.010000000000002</v>
      </c>
      <c r="H19" s="18">
        <v>17.78</v>
      </c>
      <c r="I19" s="18">
        <v>14.03</v>
      </c>
      <c r="J19" s="19"/>
      <c r="K19" s="20">
        <v>999.72</v>
      </c>
      <c r="L19" s="19"/>
      <c r="M19" s="17">
        <v>1.59</v>
      </c>
      <c r="N19" s="17">
        <v>2.35</v>
      </c>
    </row>
    <row r="20" spans="1:14" ht="14.25" customHeight="1" x14ac:dyDescent="0.35">
      <c r="A20" s="17" t="s">
        <v>567</v>
      </c>
      <c r="B20" s="18">
        <v>-0.34</v>
      </c>
      <c r="C20" s="18">
        <v>-0.45</v>
      </c>
      <c r="D20" s="18">
        <v>3.86</v>
      </c>
      <c r="E20" s="18">
        <v>10.15</v>
      </c>
      <c r="F20" s="18">
        <v>10.17</v>
      </c>
      <c r="G20" s="18">
        <v>15.48</v>
      </c>
      <c r="H20" s="18">
        <v>18.02</v>
      </c>
      <c r="I20" s="18">
        <v>14.98</v>
      </c>
      <c r="J20" s="19"/>
      <c r="K20" s="20">
        <v>2102.52</v>
      </c>
      <c r="L20" s="19"/>
      <c r="M20" s="17">
        <v>1.21</v>
      </c>
      <c r="N20" s="17">
        <v>2.15</v>
      </c>
    </row>
    <row r="21" spans="1:14" ht="14.25" customHeight="1" x14ac:dyDescent="0.35">
      <c r="A21" s="17" t="s">
        <v>568</v>
      </c>
      <c r="B21" s="18">
        <v>-0.85</v>
      </c>
      <c r="C21" s="18">
        <v>-0.52</v>
      </c>
      <c r="D21" s="18">
        <v>-1.54</v>
      </c>
      <c r="E21" s="18">
        <v>-2.23</v>
      </c>
      <c r="F21" s="18">
        <v>-2.62</v>
      </c>
      <c r="G21" s="18">
        <v>12.11</v>
      </c>
      <c r="H21" s="18">
        <v>11.92</v>
      </c>
      <c r="I21" s="18">
        <v>13.17</v>
      </c>
      <c r="J21" s="19"/>
      <c r="K21" s="20">
        <v>8.8800000000000008</v>
      </c>
      <c r="L21" s="19"/>
      <c r="M21" s="17">
        <v>2.4500000000000002</v>
      </c>
      <c r="N21" s="17">
        <v>2.5299999999999998</v>
      </c>
    </row>
    <row r="22" spans="1:14" ht="14.25" customHeight="1" x14ac:dyDescent="0.35">
      <c r="A22" s="17" t="s">
        <v>569</v>
      </c>
      <c r="B22" s="18">
        <v>-0.08</v>
      </c>
      <c r="C22" s="18">
        <v>1.37</v>
      </c>
      <c r="D22" s="18">
        <v>2.5299999999999998</v>
      </c>
      <c r="E22" s="18">
        <v>2.0499999999999998</v>
      </c>
      <c r="F22" s="18">
        <v>6.17</v>
      </c>
      <c r="G22" s="18">
        <v>15.91</v>
      </c>
      <c r="H22" s="18">
        <v>14.9</v>
      </c>
      <c r="I22" s="18">
        <v>12.69</v>
      </c>
      <c r="J22" s="19"/>
      <c r="K22" s="20">
        <v>2162.4899999999998</v>
      </c>
      <c r="L22" s="19"/>
      <c r="M22" s="17">
        <v>1.97</v>
      </c>
      <c r="N22" s="17">
        <v>2.2400000000000002</v>
      </c>
    </row>
    <row r="23" spans="1:14" ht="14.25" customHeight="1" x14ac:dyDescent="0.35">
      <c r="A23" s="21" t="s">
        <v>49</v>
      </c>
      <c r="B23" s="22">
        <f t="shared" ref="B23:I23" si="0">MEDIAN(B3:B22)</f>
        <v>-0.1</v>
      </c>
      <c r="C23" s="22">
        <f t="shared" si="0"/>
        <v>1.2949999999999999</v>
      </c>
      <c r="D23" s="22">
        <f t="shared" si="0"/>
        <v>3.09</v>
      </c>
      <c r="E23" s="22">
        <f t="shared" si="0"/>
        <v>7.69</v>
      </c>
      <c r="F23" s="22">
        <f t="shared" si="0"/>
        <v>10.52</v>
      </c>
      <c r="G23" s="22">
        <f t="shared" si="0"/>
        <v>19.510000000000002</v>
      </c>
      <c r="H23" s="22">
        <f t="shared" si="0"/>
        <v>20.329999999999998</v>
      </c>
      <c r="I23" s="22">
        <f t="shared" si="0"/>
        <v>16.04</v>
      </c>
    </row>
    <row r="24" spans="1:14" x14ac:dyDescent="0.35">
      <c r="A24" s="2" t="s">
        <v>50</v>
      </c>
      <c r="B24" s="5" t="s">
        <v>13</v>
      </c>
      <c r="C24" s="5" t="s">
        <v>13</v>
      </c>
      <c r="D24" s="5" t="s">
        <v>13</v>
      </c>
      <c r="E24" s="5" t="s">
        <v>13</v>
      </c>
      <c r="F24" s="5" t="s">
        <v>13</v>
      </c>
      <c r="G24" s="5" t="s">
        <v>13</v>
      </c>
      <c r="H24" s="5" t="s">
        <v>13</v>
      </c>
      <c r="I24" s="5" t="s">
        <v>13</v>
      </c>
    </row>
    <row r="25" spans="1:14" ht="14.25" customHeight="1" x14ac:dyDescent="0.35">
      <c r="A25" s="23" t="s">
        <v>129</v>
      </c>
      <c r="B25" s="24">
        <f>'BenchMark Returns'!B10</f>
        <v>-0.48</v>
      </c>
      <c r="C25" s="24">
        <f>'BenchMark Returns'!C10</f>
        <v>1.92</v>
      </c>
      <c r="D25" s="24">
        <f>'BenchMark Returns'!D10</f>
        <v>4.93</v>
      </c>
      <c r="E25" s="24">
        <f>'BenchMark Returns'!E10</f>
        <v>1.85</v>
      </c>
      <c r="F25" s="24">
        <f>'BenchMark Returns'!F10</f>
        <v>4.99</v>
      </c>
      <c r="G25" s="24">
        <f>'BenchMark Returns'!G10</f>
        <v>13</v>
      </c>
      <c r="H25" s="24">
        <f>'BenchMark Returns'!H10</f>
        <v>12.02</v>
      </c>
    </row>
    <row r="26" spans="1:14" ht="14.25" customHeight="1" x14ac:dyDescent="0.35">
      <c r="A26" s="26" t="s">
        <v>454</v>
      </c>
      <c r="B26" s="24">
        <f>'BenchMark Returns'!B23</f>
        <v>-0.89</v>
      </c>
      <c r="C26" s="24">
        <f>'BenchMark Returns'!C23</f>
        <v>0.73</v>
      </c>
      <c r="D26" s="24">
        <f>'BenchMark Returns'!D23</f>
        <v>0.54</v>
      </c>
      <c r="E26" s="24">
        <f>'BenchMark Returns'!E23</f>
        <v>-1.29</v>
      </c>
      <c r="F26" s="24">
        <f>'BenchMark Returns'!F23</f>
        <v>4.76</v>
      </c>
      <c r="G26" s="24">
        <f>'BenchMark Returns'!G23</f>
        <v>16.239999999999998</v>
      </c>
      <c r="H26" s="24">
        <f>'BenchMark Returns'!H23</f>
        <v>15.57</v>
      </c>
    </row>
  </sheetData>
  <mergeCells count="1">
    <mergeCell ref="M1:N1"/>
  </mergeCells>
  <conditionalFormatting sqref="F3:F22">
    <cfRule type="expression" dxfId="23" priority="2">
      <formula>AND(ISNUMBER(F3),F3&gt;MEDIAN($F$3:$F$22))</formula>
    </cfRule>
  </conditionalFormatting>
  <conditionalFormatting sqref="G3:G22">
    <cfRule type="expression" dxfId="22" priority="3">
      <formula>AND(ISNUMBER(G3),G3&gt;MEDIAN($G$3:$G$22))</formula>
    </cfRule>
  </conditionalFormatting>
  <conditionalFormatting sqref="H3:H22">
    <cfRule type="expression" dxfId="21" priority="4">
      <formula>AND(ISNUMBER(H3),H3&gt;MEDIAN($H$3:$H$22))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1"/>
  <sheetViews>
    <sheetView zoomScale="80" zoomScaleNormal="80" workbookViewId="0">
      <selection activeCell="A9" sqref="A9:XFD9"/>
    </sheetView>
  </sheetViews>
  <sheetFormatPr defaultColWidth="8.54296875" defaultRowHeight="14.5" x14ac:dyDescent="0.35"/>
  <cols>
    <col min="1" max="1" width="52.17968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08984375" customWidth="1"/>
    <col min="11" max="11" width="12.90625" customWidth="1"/>
    <col min="12" max="12" width="2.906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27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570</v>
      </c>
      <c r="B3" s="18">
        <v>0.72</v>
      </c>
      <c r="C3" s="18">
        <v>7.78</v>
      </c>
      <c r="D3" s="18">
        <v>12.3</v>
      </c>
      <c r="E3" s="18">
        <v>19.61</v>
      </c>
      <c r="F3" s="18">
        <v>29.97</v>
      </c>
      <c r="G3" s="18">
        <v>23.12</v>
      </c>
      <c r="H3" s="18">
        <v>16.559999999999999</v>
      </c>
      <c r="I3" s="18">
        <v>13.84</v>
      </c>
      <c r="J3" s="19"/>
      <c r="K3" s="20">
        <v>1229.3499999999999</v>
      </c>
      <c r="L3" s="19"/>
      <c r="M3" s="18">
        <v>1.34</v>
      </c>
      <c r="N3" s="18">
        <v>2.27</v>
      </c>
    </row>
    <row r="4" spans="1:14" ht="14.25" customHeight="1" x14ac:dyDescent="0.35">
      <c r="A4" s="17" t="s">
        <v>571</v>
      </c>
      <c r="B4" s="18">
        <v>0.06</v>
      </c>
      <c r="C4" s="18">
        <v>6.46</v>
      </c>
      <c r="D4" s="18">
        <v>9.73</v>
      </c>
      <c r="E4" s="18">
        <v>14.51</v>
      </c>
      <c r="F4" s="18">
        <v>21.02</v>
      </c>
      <c r="G4" s="18" t="s">
        <v>13</v>
      </c>
      <c r="H4" s="18" t="s">
        <v>13</v>
      </c>
      <c r="I4" s="18">
        <v>21.66</v>
      </c>
      <c r="J4" s="19"/>
      <c r="K4" s="20">
        <v>5377.75</v>
      </c>
      <c r="L4" s="19"/>
      <c r="M4" s="18">
        <v>0.47</v>
      </c>
      <c r="N4" s="18">
        <v>1.84</v>
      </c>
    </row>
    <row r="5" spans="1:14" ht="14.25" customHeight="1" x14ac:dyDescent="0.35">
      <c r="A5" s="17" t="s">
        <v>572</v>
      </c>
      <c r="B5" s="18">
        <v>-0.06</v>
      </c>
      <c r="C5" s="18">
        <v>1.81</v>
      </c>
      <c r="D5" s="18">
        <v>7.32</v>
      </c>
      <c r="E5" s="18">
        <v>14.76</v>
      </c>
      <c r="F5" s="18">
        <v>25.09</v>
      </c>
      <c r="G5" s="18">
        <v>25.12</v>
      </c>
      <c r="H5" s="18">
        <v>22.42</v>
      </c>
      <c r="I5" s="18">
        <v>17.850000000000001</v>
      </c>
      <c r="J5" s="19"/>
      <c r="K5" s="20">
        <v>836.52</v>
      </c>
      <c r="L5" s="19"/>
      <c r="M5" s="18">
        <v>0.62</v>
      </c>
      <c r="N5" s="18">
        <v>2.23</v>
      </c>
    </row>
    <row r="6" spans="1:14" ht="14.25" customHeight="1" x14ac:dyDescent="0.35">
      <c r="A6" s="17" t="s">
        <v>573</v>
      </c>
      <c r="B6" s="18">
        <v>-0.1</v>
      </c>
      <c r="C6" s="18">
        <v>4.9000000000000004</v>
      </c>
      <c r="D6" s="18">
        <v>5.18</v>
      </c>
      <c r="E6" s="18">
        <v>11.93</v>
      </c>
      <c r="F6" s="18">
        <v>21.06</v>
      </c>
      <c r="G6" s="18" t="s">
        <v>13</v>
      </c>
      <c r="H6" s="18" t="s">
        <v>13</v>
      </c>
      <c r="I6" s="18">
        <v>7.68</v>
      </c>
      <c r="J6" s="19"/>
      <c r="K6" s="20">
        <v>858.01</v>
      </c>
      <c r="L6" s="19"/>
      <c r="M6" s="18">
        <v>1.1499999999999999</v>
      </c>
      <c r="N6" s="18">
        <v>2.27</v>
      </c>
    </row>
    <row r="7" spans="1:14" ht="14.25" customHeight="1" x14ac:dyDescent="0.35">
      <c r="A7" s="17" t="s">
        <v>574</v>
      </c>
      <c r="B7" s="18">
        <v>1.03</v>
      </c>
      <c r="C7" s="18">
        <v>4.4800000000000004</v>
      </c>
      <c r="D7" s="18">
        <v>7.69</v>
      </c>
      <c r="E7" s="18">
        <v>15.48</v>
      </c>
      <c r="F7" s="18">
        <v>17.88</v>
      </c>
      <c r="G7" s="18" t="s">
        <v>13</v>
      </c>
      <c r="H7" s="18" t="s">
        <v>13</v>
      </c>
      <c r="I7" s="18">
        <v>17.2</v>
      </c>
      <c r="J7" s="19"/>
      <c r="K7" s="20">
        <v>1689.17</v>
      </c>
      <c r="L7" s="19"/>
      <c r="M7" s="18">
        <v>0.9</v>
      </c>
      <c r="N7" s="18">
        <v>2.14</v>
      </c>
    </row>
    <row r="8" spans="1:14" ht="14.25" customHeight="1" x14ac:dyDescent="0.35">
      <c r="A8" s="17" t="s">
        <v>575</v>
      </c>
      <c r="B8" s="18">
        <v>-0.02</v>
      </c>
      <c r="C8" s="18">
        <v>1.27</v>
      </c>
      <c r="D8" s="18">
        <v>5.0199999999999996</v>
      </c>
      <c r="E8" s="18">
        <v>13.64</v>
      </c>
      <c r="F8" s="18">
        <v>19.329999999999998</v>
      </c>
      <c r="G8" s="18">
        <v>23.32</v>
      </c>
      <c r="H8" s="18">
        <v>22.94</v>
      </c>
      <c r="I8" s="18">
        <v>17.079999999999998</v>
      </c>
      <c r="J8" s="19"/>
      <c r="K8" s="20">
        <v>6263.54</v>
      </c>
      <c r="L8" s="19"/>
      <c r="M8" s="18">
        <v>0.89</v>
      </c>
      <c r="N8" s="18">
        <v>1.89</v>
      </c>
    </row>
    <row r="9" spans="1:14" ht="14.25" customHeight="1" x14ac:dyDescent="0.35">
      <c r="A9" s="17" t="s">
        <v>576</v>
      </c>
      <c r="B9" s="18">
        <v>-0.27</v>
      </c>
      <c r="C9" s="18">
        <v>5.41</v>
      </c>
      <c r="D9" s="18">
        <v>7.76</v>
      </c>
      <c r="E9" s="18">
        <v>9.49</v>
      </c>
      <c r="F9" s="18">
        <v>14.59</v>
      </c>
      <c r="G9" s="18" t="s">
        <v>13</v>
      </c>
      <c r="H9" s="18" t="s">
        <v>13</v>
      </c>
      <c r="I9" s="18">
        <v>9.85</v>
      </c>
      <c r="J9" s="19"/>
      <c r="K9" s="20">
        <v>10327.969999999999</v>
      </c>
      <c r="L9" s="19"/>
      <c r="M9" s="18">
        <v>0.84</v>
      </c>
      <c r="N9" s="18">
        <v>1.79</v>
      </c>
    </row>
    <row r="10" spans="1:14" ht="14.25" customHeight="1" x14ac:dyDescent="0.35">
      <c r="A10" s="17" t="s">
        <v>577</v>
      </c>
      <c r="B10" s="18">
        <v>-1.0900000000000001</v>
      </c>
      <c r="C10" s="18">
        <v>4.51</v>
      </c>
      <c r="D10" s="18">
        <v>6.8</v>
      </c>
      <c r="E10" s="18">
        <v>10.48</v>
      </c>
      <c r="F10" s="18">
        <v>18.03</v>
      </c>
      <c r="G10" s="18">
        <v>23.14</v>
      </c>
      <c r="H10" s="18">
        <v>20.95</v>
      </c>
      <c r="I10" s="18">
        <v>20.62</v>
      </c>
      <c r="J10" s="19"/>
      <c r="K10" s="20">
        <v>6842.52</v>
      </c>
      <c r="L10" s="19"/>
      <c r="M10" s="18">
        <v>0.81</v>
      </c>
      <c r="N10" s="18">
        <v>1.86</v>
      </c>
    </row>
    <row r="11" spans="1:14" ht="14.25" customHeight="1" x14ac:dyDescent="0.35">
      <c r="A11" s="17" t="s">
        <v>578</v>
      </c>
      <c r="B11" s="18">
        <v>0.16</v>
      </c>
      <c r="C11" s="18">
        <v>7.78</v>
      </c>
      <c r="D11" s="18">
        <v>13.82</v>
      </c>
      <c r="E11" s="18">
        <v>18.940000000000001</v>
      </c>
      <c r="F11" s="18">
        <v>19.04</v>
      </c>
      <c r="G11" s="18" t="s">
        <v>13</v>
      </c>
      <c r="H11" s="18" t="s">
        <v>13</v>
      </c>
      <c r="I11" s="18">
        <v>10.41</v>
      </c>
      <c r="J11" s="19"/>
      <c r="K11" s="20">
        <v>697.9</v>
      </c>
      <c r="L11" s="19"/>
      <c r="M11" s="18">
        <v>0.79</v>
      </c>
      <c r="N11" s="18">
        <v>2.36</v>
      </c>
    </row>
    <row r="12" spans="1:14" ht="14.25" customHeight="1" x14ac:dyDescent="0.35">
      <c r="A12" s="17" t="s">
        <v>579</v>
      </c>
      <c r="B12" s="18">
        <v>0.03</v>
      </c>
      <c r="C12" s="18">
        <v>6.1</v>
      </c>
      <c r="D12" s="18">
        <v>9.98</v>
      </c>
      <c r="E12" s="18">
        <v>12.36</v>
      </c>
      <c r="F12" s="18">
        <v>23.53</v>
      </c>
      <c r="G12" s="18">
        <v>21.58</v>
      </c>
      <c r="H12" s="18" t="s">
        <v>13</v>
      </c>
      <c r="I12" s="18">
        <v>21.48</v>
      </c>
      <c r="J12" s="19"/>
      <c r="K12" s="20">
        <v>2803.9</v>
      </c>
      <c r="L12" s="19"/>
      <c r="M12" s="18">
        <v>0.59</v>
      </c>
      <c r="N12" s="18">
        <v>1.98</v>
      </c>
    </row>
    <row r="13" spans="1:14" ht="14.25" customHeight="1" x14ac:dyDescent="0.35">
      <c r="A13" s="17" t="s">
        <v>580</v>
      </c>
      <c r="B13" s="18">
        <v>-0.01</v>
      </c>
      <c r="C13" s="18">
        <v>3.96</v>
      </c>
      <c r="D13" s="18">
        <v>9.08</v>
      </c>
      <c r="E13" s="18">
        <v>15.52</v>
      </c>
      <c r="F13" s="18">
        <v>23.22</v>
      </c>
      <c r="G13" s="18" t="s">
        <v>13</v>
      </c>
      <c r="H13" s="18" t="s">
        <v>13</v>
      </c>
      <c r="I13" s="18">
        <v>10.5</v>
      </c>
      <c r="J13" s="19"/>
      <c r="K13" s="20">
        <v>781.52</v>
      </c>
      <c r="L13" s="19"/>
      <c r="M13" s="18">
        <v>1.66</v>
      </c>
      <c r="N13" s="18">
        <v>2.4700000000000002</v>
      </c>
    </row>
    <row r="14" spans="1:14" ht="14.25" customHeight="1" x14ac:dyDescent="0.35">
      <c r="A14" s="17" t="s">
        <v>581</v>
      </c>
      <c r="B14" s="18">
        <v>0.14000000000000001</v>
      </c>
      <c r="C14" s="18">
        <v>3.97</v>
      </c>
      <c r="D14" s="18">
        <v>6.74</v>
      </c>
      <c r="E14" s="18">
        <v>9.27</v>
      </c>
      <c r="F14" s="18">
        <v>15.31</v>
      </c>
      <c r="G14" s="18" t="s">
        <v>13</v>
      </c>
      <c r="H14" s="18" t="s">
        <v>13</v>
      </c>
      <c r="I14" s="18">
        <v>5.32</v>
      </c>
      <c r="J14" s="19"/>
      <c r="K14" s="20">
        <v>677.34</v>
      </c>
      <c r="L14" s="19"/>
      <c r="M14" s="18">
        <v>0.88</v>
      </c>
      <c r="N14" s="18">
        <v>2.38</v>
      </c>
    </row>
    <row r="15" spans="1:14" ht="14.25" customHeight="1" x14ac:dyDescent="0.35">
      <c r="A15" s="17" t="s">
        <v>582</v>
      </c>
      <c r="B15" s="18">
        <v>1.1599999999999999</v>
      </c>
      <c r="C15" s="18">
        <v>5.8</v>
      </c>
      <c r="D15" s="18">
        <v>6.12</v>
      </c>
      <c r="E15" s="18">
        <v>10.52</v>
      </c>
      <c r="F15" s="18">
        <v>9.83</v>
      </c>
      <c r="G15" s="18" t="s">
        <v>13</v>
      </c>
      <c r="H15" s="18" t="s">
        <v>13</v>
      </c>
      <c r="I15" s="18">
        <v>10.37</v>
      </c>
      <c r="J15" s="19"/>
      <c r="K15" s="20">
        <v>688.04</v>
      </c>
      <c r="L15" s="19"/>
      <c r="M15" s="18">
        <v>1.1200000000000001</v>
      </c>
      <c r="N15" s="18">
        <v>2.39</v>
      </c>
    </row>
    <row r="16" spans="1:14" ht="14.25" customHeight="1" x14ac:dyDescent="0.35">
      <c r="A16" s="17" t="s">
        <v>583</v>
      </c>
      <c r="B16" s="18">
        <v>-0.86</v>
      </c>
      <c r="C16" s="18">
        <v>-0.16</v>
      </c>
      <c r="D16" s="18">
        <v>7.62</v>
      </c>
      <c r="E16" s="18">
        <v>21.79</v>
      </c>
      <c r="F16" s="18">
        <v>22.24</v>
      </c>
      <c r="G16" s="18">
        <v>20.63</v>
      </c>
      <c r="H16" s="18" t="s">
        <v>13</v>
      </c>
      <c r="I16" s="18">
        <v>20.63</v>
      </c>
      <c r="J16" s="19"/>
      <c r="K16" s="20">
        <v>743.87</v>
      </c>
      <c r="L16" s="19"/>
      <c r="M16" s="18">
        <v>1.07</v>
      </c>
      <c r="N16" s="18">
        <v>2.44</v>
      </c>
    </row>
    <row r="17" spans="1:14" ht="14.25" customHeight="1" x14ac:dyDescent="0.35">
      <c r="A17" s="17" t="s">
        <v>584</v>
      </c>
      <c r="B17" s="18">
        <v>0.12</v>
      </c>
      <c r="C17" s="18">
        <v>12.14</v>
      </c>
      <c r="D17" s="18">
        <v>19.420000000000002</v>
      </c>
      <c r="E17" s="18">
        <v>17.04</v>
      </c>
      <c r="F17" s="18">
        <v>39.5</v>
      </c>
      <c r="G17" s="18" t="s">
        <v>13</v>
      </c>
      <c r="H17" s="18" t="s">
        <v>13</v>
      </c>
      <c r="I17" s="18">
        <v>16.09</v>
      </c>
      <c r="J17" s="19"/>
      <c r="K17" s="20">
        <v>5380.09</v>
      </c>
      <c r="L17" s="19"/>
      <c r="M17" s="18">
        <v>0.86</v>
      </c>
      <c r="N17" s="18">
        <v>1.9</v>
      </c>
    </row>
    <row r="18" spans="1:14" ht="14.25" customHeight="1" x14ac:dyDescent="0.35">
      <c r="A18" s="21" t="s">
        <v>49</v>
      </c>
      <c r="B18" s="22">
        <f t="shared" ref="B18:H18" si="0">MEDIAN(B3:B17)</f>
        <v>0.03</v>
      </c>
      <c r="C18" s="22">
        <f t="shared" si="0"/>
        <v>4.9000000000000004</v>
      </c>
      <c r="D18" s="22">
        <f t="shared" si="0"/>
        <v>7.69</v>
      </c>
      <c r="E18" s="22">
        <f t="shared" si="0"/>
        <v>14.51</v>
      </c>
      <c r="F18" s="22">
        <f t="shared" si="0"/>
        <v>21.02</v>
      </c>
      <c r="G18" s="22">
        <f t="shared" si="0"/>
        <v>23.130000000000003</v>
      </c>
      <c r="H18" s="22">
        <f t="shared" si="0"/>
        <v>21.685000000000002</v>
      </c>
      <c r="I18" s="22">
        <f>MEDIAN(I3:I17)</f>
        <v>16.09</v>
      </c>
    </row>
    <row r="19" spans="1:14" x14ac:dyDescent="0.35">
      <c r="A19" s="2" t="s">
        <v>50</v>
      </c>
      <c r="B19" s="5" t="s">
        <v>13</v>
      </c>
      <c r="C19" s="5" t="s">
        <v>13</v>
      </c>
      <c r="D19" s="5" t="s">
        <v>13</v>
      </c>
      <c r="E19" s="5" t="s">
        <v>13</v>
      </c>
      <c r="F19" s="5" t="s">
        <v>13</v>
      </c>
      <c r="G19" s="5" t="s">
        <v>13</v>
      </c>
      <c r="H19" s="5" t="s">
        <v>13</v>
      </c>
      <c r="I19" s="5" t="s">
        <v>13</v>
      </c>
    </row>
    <row r="20" spans="1:14" ht="14.25" customHeight="1" x14ac:dyDescent="0.35">
      <c r="A20" s="23" t="s">
        <v>129</v>
      </c>
      <c r="B20" s="24">
        <f>'BenchMark Returns'!B10</f>
        <v>-0.48</v>
      </c>
      <c r="C20" s="24">
        <f>'BenchMark Returns'!C10</f>
        <v>1.92</v>
      </c>
      <c r="D20" s="24">
        <f>'BenchMark Returns'!D10</f>
        <v>4.93</v>
      </c>
      <c r="E20" s="24">
        <f>'BenchMark Returns'!E10</f>
        <v>1.85</v>
      </c>
      <c r="F20" s="24">
        <f>'BenchMark Returns'!F10</f>
        <v>4.99</v>
      </c>
      <c r="G20" s="24">
        <f>'BenchMark Returns'!G10</f>
        <v>13</v>
      </c>
      <c r="H20" s="24">
        <f>'BenchMark Returns'!H10</f>
        <v>12.02</v>
      </c>
    </row>
    <row r="21" spans="1:14" ht="14.25" customHeight="1" x14ac:dyDescent="0.35">
      <c r="A21" s="23" t="s">
        <v>453</v>
      </c>
      <c r="B21" s="24">
        <f>'BenchMark Returns'!B22</f>
        <v>-0.7</v>
      </c>
      <c r="C21" s="24">
        <f>'BenchMark Returns'!C22</f>
        <v>4.38</v>
      </c>
      <c r="D21" s="24">
        <f>'BenchMark Returns'!D22</f>
        <v>4.51</v>
      </c>
      <c r="E21" s="24">
        <f>'BenchMark Returns'!E22</f>
        <v>6.22</v>
      </c>
      <c r="F21" s="24">
        <f>'BenchMark Returns'!F22</f>
        <v>16.91</v>
      </c>
      <c r="G21" s="24">
        <f>'BenchMark Returns'!G22</f>
        <v>19.96</v>
      </c>
      <c r="H21" s="24">
        <f>'BenchMark Returns'!H22</f>
        <v>16.899999999999999</v>
      </c>
    </row>
  </sheetData>
  <mergeCells count="1">
    <mergeCell ref="M1:N1"/>
  </mergeCells>
  <conditionalFormatting sqref="F3:F17">
    <cfRule type="expression" dxfId="20" priority="2">
      <formula>AND(ISNUMBER(F3),F3&gt;MEDIAN($F$3:$F$17))</formula>
    </cfRule>
  </conditionalFormatting>
  <conditionalFormatting sqref="G3:G17">
    <cfRule type="expression" dxfId="19" priority="3">
      <formula>AND(ISNUMBER(G3),G3&gt;MEDIAN($G$3:$G$17))</formula>
    </cfRule>
  </conditionalFormatting>
  <conditionalFormatting sqref="H3:H17">
    <cfRule type="expression" dxfId="18" priority="4">
      <formula>AND(ISNUMBER(H3),H3&gt;MEDIAN($H$3:$H$17))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0"/>
  <sheetViews>
    <sheetView zoomScale="80" zoomScaleNormal="80" workbookViewId="0">
      <selection activeCell="A7" sqref="A7:XFD7"/>
    </sheetView>
  </sheetViews>
  <sheetFormatPr defaultColWidth="8.54296875" defaultRowHeight="14.5" x14ac:dyDescent="0.35"/>
  <cols>
    <col min="1" max="1" width="41.363281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08984375" customWidth="1"/>
    <col min="11" max="11" width="12.90625" customWidth="1"/>
    <col min="12" max="12" width="2.6328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585</v>
      </c>
      <c r="B3" s="18">
        <v>-0.1</v>
      </c>
      <c r="C3" s="18">
        <v>1.77</v>
      </c>
      <c r="D3" s="18">
        <v>-0.35</v>
      </c>
      <c r="E3" s="18">
        <v>0.22</v>
      </c>
      <c r="F3" s="18">
        <v>15.46</v>
      </c>
      <c r="G3" s="18">
        <v>24.46</v>
      </c>
      <c r="H3" s="18">
        <v>24.69</v>
      </c>
      <c r="I3" s="18">
        <v>23.41</v>
      </c>
      <c r="J3" s="19"/>
      <c r="K3" s="20">
        <v>6018.74</v>
      </c>
      <c r="L3" s="19"/>
      <c r="M3" s="18">
        <v>0.59</v>
      </c>
      <c r="N3" s="18">
        <v>1.82</v>
      </c>
    </row>
    <row r="4" spans="1:14" ht="14.25" customHeight="1" x14ac:dyDescent="0.35">
      <c r="A4" s="17" t="s">
        <v>586</v>
      </c>
      <c r="B4" s="18">
        <v>-0.47</v>
      </c>
      <c r="C4" s="18">
        <v>1.0900000000000001</v>
      </c>
      <c r="D4" s="18">
        <v>-0.77</v>
      </c>
      <c r="E4" s="18">
        <v>-0.55000000000000004</v>
      </c>
      <c r="F4" s="18">
        <v>10.5</v>
      </c>
      <c r="G4" s="18">
        <v>24.14</v>
      </c>
      <c r="H4" s="18" t="s">
        <v>13</v>
      </c>
      <c r="I4" s="18">
        <v>24.01</v>
      </c>
      <c r="J4" s="19"/>
      <c r="K4" s="20">
        <v>1886.25</v>
      </c>
      <c r="L4" s="19"/>
      <c r="M4" s="18">
        <v>0.87</v>
      </c>
      <c r="N4" s="18">
        <v>2.1</v>
      </c>
    </row>
    <row r="5" spans="1:14" ht="14.25" customHeight="1" x14ac:dyDescent="0.35">
      <c r="A5" s="17" t="s">
        <v>587</v>
      </c>
      <c r="B5" s="18">
        <v>0.7</v>
      </c>
      <c r="C5" s="18">
        <v>3.36</v>
      </c>
      <c r="D5" s="18">
        <v>0.84</v>
      </c>
      <c r="E5" s="18">
        <v>-0.02</v>
      </c>
      <c r="F5" s="18">
        <v>9.02</v>
      </c>
      <c r="G5" s="18">
        <v>23.97</v>
      </c>
      <c r="H5" s="18">
        <v>22.98</v>
      </c>
      <c r="I5" s="18">
        <v>16.25</v>
      </c>
      <c r="J5" s="19"/>
      <c r="K5" s="20">
        <v>1472.61</v>
      </c>
      <c r="L5" s="19"/>
      <c r="M5" s="18">
        <v>0.91</v>
      </c>
      <c r="N5" s="18">
        <v>2.14</v>
      </c>
    </row>
    <row r="6" spans="1:14" ht="14.25" customHeight="1" x14ac:dyDescent="0.35">
      <c r="A6" s="17" t="s">
        <v>588</v>
      </c>
      <c r="B6" s="18">
        <v>-0.9</v>
      </c>
      <c r="C6" s="18">
        <v>0.03</v>
      </c>
      <c r="D6" s="18">
        <v>-4.42</v>
      </c>
      <c r="E6" s="18">
        <v>9.31</v>
      </c>
      <c r="F6" s="18">
        <v>9</v>
      </c>
      <c r="G6" s="18" t="s">
        <v>13</v>
      </c>
      <c r="H6" s="18" t="s">
        <v>13</v>
      </c>
      <c r="I6" s="18">
        <v>3.85</v>
      </c>
      <c r="J6" s="19"/>
      <c r="K6" s="20">
        <v>473.19</v>
      </c>
      <c r="L6" s="19"/>
      <c r="M6" s="18">
        <v>1.1299999999999999</v>
      </c>
      <c r="N6" s="18">
        <v>2.4700000000000002</v>
      </c>
    </row>
    <row r="7" spans="1:14" ht="14.25" customHeight="1" x14ac:dyDescent="0.35">
      <c r="A7" s="17" t="s">
        <v>589</v>
      </c>
      <c r="B7" s="18">
        <v>-0.08</v>
      </c>
      <c r="C7" s="18">
        <v>0.84</v>
      </c>
      <c r="D7" s="18">
        <v>-1.86</v>
      </c>
      <c r="E7" s="18">
        <v>-2.99</v>
      </c>
      <c r="F7" s="18">
        <v>12.11</v>
      </c>
      <c r="G7" s="18">
        <v>24.78</v>
      </c>
      <c r="H7" s="18">
        <v>24.69</v>
      </c>
      <c r="I7" s="18">
        <v>11.85</v>
      </c>
      <c r="J7" s="19"/>
      <c r="K7" s="20">
        <v>6683.53</v>
      </c>
      <c r="L7" s="19"/>
      <c r="M7" s="18">
        <v>0.85</v>
      </c>
      <c r="N7" s="18">
        <v>1.86</v>
      </c>
    </row>
    <row r="8" spans="1:14" ht="14.25" customHeight="1" x14ac:dyDescent="0.35">
      <c r="A8" s="21" t="s">
        <v>49</v>
      </c>
      <c r="B8" s="22">
        <f t="shared" ref="B8:I8" si="0">MEDIAN(B3:B7)</f>
        <v>-0.1</v>
      </c>
      <c r="C8" s="22">
        <f t="shared" si="0"/>
        <v>1.0900000000000001</v>
      </c>
      <c r="D8" s="22">
        <f t="shared" si="0"/>
        <v>-0.77</v>
      </c>
      <c r="E8" s="22">
        <f t="shared" si="0"/>
        <v>-0.02</v>
      </c>
      <c r="F8" s="22">
        <f t="shared" si="0"/>
        <v>10.5</v>
      </c>
      <c r="G8" s="22">
        <f t="shared" si="0"/>
        <v>24.3</v>
      </c>
      <c r="H8" s="22">
        <f t="shared" si="0"/>
        <v>24.69</v>
      </c>
      <c r="I8" s="22">
        <f t="shared" si="0"/>
        <v>16.25</v>
      </c>
    </row>
    <row r="9" spans="1:14" x14ac:dyDescent="0.35">
      <c r="A9" s="2" t="s">
        <v>50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</row>
    <row r="10" spans="1:14" ht="14.25" customHeight="1" x14ac:dyDescent="0.35">
      <c r="A10" s="23" t="s">
        <v>129</v>
      </c>
      <c r="B10" s="24">
        <f>'BenchMark Returns'!B10</f>
        <v>-0.48</v>
      </c>
      <c r="C10" s="24">
        <f>'BenchMark Returns'!C10</f>
        <v>1.92</v>
      </c>
      <c r="D10" s="24">
        <f>'BenchMark Returns'!D10</f>
        <v>4.93</v>
      </c>
      <c r="E10" s="24">
        <f>'BenchMark Returns'!E10</f>
        <v>1.85</v>
      </c>
      <c r="F10" s="24">
        <f>'BenchMark Returns'!F10</f>
        <v>4.99</v>
      </c>
      <c r="G10" s="24">
        <f>'BenchMark Returns'!G10</f>
        <v>13</v>
      </c>
      <c r="H10" s="24">
        <f>'BenchMark Returns'!H10</f>
        <v>12.02</v>
      </c>
    </row>
  </sheetData>
  <mergeCells count="1">
    <mergeCell ref="M1:N1"/>
  </mergeCells>
  <conditionalFormatting sqref="F3:F7">
    <cfRule type="expression" dxfId="17" priority="2">
      <formula>AND(ISNUMBER(F3),F3&gt;MEDIAN($F$3:$F$7))</formula>
    </cfRule>
  </conditionalFormatting>
  <conditionalFormatting sqref="G3:G7">
    <cfRule type="expression" dxfId="16" priority="3">
      <formula>AND(ISNUMBER(G3),G3&gt;MEDIAN($G$3:$G$7))</formula>
    </cfRule>
  </conditionalFormatting>
  <conditionalFormatting sqref="H3:H7">
    <cfRule type="expression" dxfId="15" priority="4">
      <formula>AND(ISNUMBER(H3),H3&gt;MEDIAN($H$3:$H$7))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2"/>
  <sheetViews>
    <sheetView zoomScale="80" zoomScaleNormal="80" workbookViewId="0">
      <selection activeCell="C10" sqref="C10"/>
    </sheetView>
  </sheetViews>
  <sheetFormatPr defaultColWidth="8.54296875" defaultRowHeight="14.5" x14ac:dyDescent="0.35"/>
  <cols>
    <col min="1" max="1" width="50.179687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" customWidth="1"/>
    <col min="11" max="11" width="12.90625" customWidth="1"/>
    <col min="12" max="12" width="3.453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29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590</v>
      </c>
      <c r="B3" s="18">
        <v>-0.31</v>
      </c>
      <c r="C3" s="18">
        <v>0.49</v>
      </c>
      <c r="D3" s="18">
        <v>-4.5</v>
      </c>
      <c r="E3" s="18">
        <v>1.05</v>
      </c>
      <c r="F3" s="18">
        <v>6.83</v>
      </c>
      <c r="G3" s="18" t="s">
        <v>13</v>
      </c>
      <c r="H3" s="18" t="s">
        <v>13</v>
      </c>
      <c r="I3" s="18">
        <v>12.73</v>
      </c>
      <c r="J3" s="19"/>
      <c r="K3" s="30">
        <v>672.25</v>
      </c>
      <c r="L3" s="19"/>
      <c r="M3" s="18">
        <v>1.01</v>
      </c>
      <c r="N3" s="18">
        <v>2.36</v>
      </c>
    </row>
    <row r="4" spans="1:14" ht="14.25" customHeight="1" x14ac:dyDescent="0.35">
      <c r="A4" s="17" t="s">
        <v>591</v>
      </c>
      <c r="B4" s="18">
        <v>-0.27</v>
      </c>
      <c r="C4" s="18">
        <v>2.0699999999999998</v>
      </c>
      <c r="D4" s="18">
        <v>-3.65</v>
      </c>
      <c r="E4" s="18">
        <v>2.21</v>
      </c>
      <c r="F4" s="18">
        <v>24.58</v>
      </c>
      <c r="G4" s="18">
        <v>21.53</v>
      </c>
      <c r="H4" s="18">
        <v>16.62</v>
      </c>
      <c r="I4" s="18">
        <v>17.53</v>
      </c>
      <c r="J4" s="19"/>
      <c r="K4" s="30">
        <v>2400.8000000000002</v>
      </c>
      <c r="L4" s="19"/>
      <c r="M4" s="18">
        <v>0.81</v>
      </c>
      <c r="N4" s="18">
        <v>1.98</v>
      </c>
    </row>
    <row r="5" spans="1:14" ht="14.25" customHeight="1" x14ac:dyDescent="0.35">
      <c r="A5" s="17" t="s">
        <v>592</v>
      </c>
      <c r="B5" s="18">
        <v>0.59</v>
      </c>
      <c r="C5" s="18">
        <v>1.54</v>
      </c>
      <c r="D5" s="18">
        <v>1.02</v>
      </c>
      <c r="E5" s="18">
        <v>9.44</v>
      </c>
      <c r="F5" s="18">
        <v>18.440000000000001</v>
      </c>
      <c r="G5" s="18" t="s">
        <v>13</v>
      </c>
      <c r="H5" s="18" t="s">
        <v>13</v>
      </c>
      <c r="I5" s="18">
        <v>8.7100000000000009</v>
      </c>
      <c r="J5" s="19"/>
      <c r="K5" s="30">
        <v>8351.56</v>
      </c>
      <c r="L5" s="19"/>
      <c r="M5" s="18">
        <v>0.61</v>
      </c>
      <c r="N5" s="18">
        <v>1.76</v>
      </c>
    </row>
    <row r="6" spans="1:14" ht="14.25" customHeight="1" x14ac:dyDescent="0.35">
      <c r="A6" s="17" t="s">
        <v>593</v>
      </c>
      <c r="B6" s="18">
        <v>-0.68</v>
      </c>
      <c r="C6" s="18">
        <v>1.8</v>
      </c>
      <c r="D6" s="18">
        <v>0.54</v>
      </c>
      <c r="E6" s="18">
        <v>4.2699999999999996</v>
      </c>
      <c r="F6" s="18">
        <v>8.0500000000000007</v>
      </c>
      <c r="G6" s="18" t="s">
        <v>13</v>
      </c>
      <c r="H6" s="18" t="s">
        <v>13</v>
      </c>
      <c r="I6" s="18">
        <v>6.73</v>
      </c>
      <c r="J6" s="19"/>
      <c r="K6" s="30">
        <v>273.45999999999998</v>
      </c>
      <c r="L6" s="19"/>
      <c r="M6" s="18">
        <v>0.89</v>
      </c>
      <c r="N6" s="18">
        <v>2.42</v>
      </c>
    </row>
    <row r="7" spans="1:14" ht="14.25" customHeight="1" x14ac:dyDescent="0.35">
      <c r="A7" s="17" t="s">
        <v>594</v>
      </c>
      <c r="B7" s="18">
        <v>-0.33</v>
      </c>
      <c r="C7" s="18">
        <v>1.32</v>
      </c>
      <c r="D7" s="18">
        <v>0.51</v>
      </c>
      <c r="E7" s="18">
        <v>5.32</v>
      </c>
      <c r="F7" s="18">
        <v>9.16</v>
      </c>
      <c r="G7" s="18" t="s">
        <v>13</v>
      </c>
      <c r="H7" s="18" t="s">
        <v>13</v>
      </c>
      <c r="I7" s="18">
        <v>5.69</v>
      </c>
      <c r="J7" s="19"/>
      <c r="K7" s="30">
        <v>8712.01</v>
      </c>
      <c r="L7" s="19"/>
      <c r="M7" s="18">
        <v>0.8</v>
      </c>
      <c r="N7" s="18">
        <v>1.8</v>
      </c>
    </row>
    <row r="8" spans="1:14" ht="14.25" customHeight="1" x14ac:dyDescent="0.35">
      <c r="A8" s="17" t="s">
        <v>595</v>
      </c>
      <c r="B8" s="18">
        <v>-1</v>
      </c>
      <c r="C8" s="18">
        <v>0.73</v>
      </c>
      <c r="D8" s="18">
        <v>0.3</v>
      </c>
      <c r="E8" s="18">
        <v>6.39</v>
      </c>
      <c r="F8" s="18">
        <v>12.45</v>
      </c>
      <c r="G8" s="18">
        <v>18.239999999999998</v>
      </c>
      <c r="H8" s="18">
        <v>13.51</v>
      </c>
      <c r="I8" s="18">
        <v>18.12</v>
      </c>
      <c r="J8" s="19"/>
      <c r="K8" s="30">
        <v>1361.2</v>
      </c>
      <c r="L8" s="19"/>
      <c r="M8" s="18">
        <v>0.56999999999999995</v>
      </c>
      <c r="N8" s="18">
        <v>2.1</v>
      </c>
    </row>
    <row r="9" spans="1:14" ht="14.25" customHeight="1" x14ac:dyDescent="0.35">
      <c r="A9" s="21" t="s">
        <v>49</v>
      </c>
      <c r="B9" s="22">
        <f t="shared" ref="B9:I9" si="0">MEDIAN(B3:B8)</f>
        <v>-0.32</v>
      </c>
      <c r="C9" s="22">
        <f>MEDIAN(C3:C8)</f>
        <v>1.4300000000000002</v>
      </c>
      <c r="D9" s="22">
        <f t="shared" si="0"/>
        <v>0.40500000000000003</v>
      </c>
      <c r="E9" s="22">
        <f t="shared" si="0"/>
        <v>4.7949999999999999</v>
      </c>
      <c r="F9" s="22">
        <f t="shared" si="0"/>
        <v>10.805</v>
      </c>
      <c r="G9" s="22">
        <f t="shared" si="0"/>
        <v>19.884999999999998</v>
      </c>
      <c r="H9" s="22">
        <f t="shared" si="0"/>
        <v>15.065000000000001</v>
      </c>
      <c r="I9" s="22">
        <f t="shared" si="0"/>
        <v>10.72</v>
      </c>
    </row>
    <row r="10" spans="1:14" x14ac:dyDescent="0.35">
      <c r="A10" s="2" t="s">
        <v>50</v>
      </c>
      <c r="B10" s="5" t="s">
        <v>13</v>
      </c>
      <c r="C10" s="5" t="s">
        <v>13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</row>
    <row r="11" spans="1:14" ht="14.25" customHeight="1" x14ac:dyDescent="0.35">
      <c r="A11" s="23" t="s">
        <v>129</v>
      </c>
      <c r="B11" s="24">
        <f>'BenchMark Returns'!B10</f>
        <v>-0.48</v>
      </c>
      <c r="C11" s="24">
        <f>'BenchMark Returns'!C10</f>
        <v>1.92</v>
      </c>
      <c r="D11" s="24">
        <f>'BenchMark Returns'!D10</f>
        <v>4.93</v>
      </c>
      <c r="E11" s="24">
        <f>'BenchMark Returns'!E10</f>
        <v>1.85</v>
      </c>
      <c r="F11" s="24">
        <f>'BenchMark Returns'!F10</f>
        <v>4.99</v>
      </c>
      <c r="G11" s="24">
        <f>'BenchMark Returns'!G10</f>
        <v>13</v>
      </c>
      <c r="H11" s="24">
        <f>'BenchMark Returns'!H10</f>
        <v>12.02</v>
      </c>
    </row>
    <row r="12" spans="1:14" ht="14.25" customHeight="1" x14ac:dyDescent="0.35">
      <c r="A12" s="23" t="s">
        <v>447</v>
      </c>
      <c r="B12" s="25">
        <f>'BenchMark Returns'!B16</f>
        <v>-0.5</v>
      </c>
      <c r="C12" s="25">
        <f>'BenchMark Returns'!C16</f>
        <v>-1.66</v>
      </c>
      <c r="D12" s="25">
        <f>'BenchMark Returns'!D16</f>
        <v>-3.81</v>
      </c>
      <c r="E12" s="25">
        <f>'BenchMark Returns'!E16</f>
        <v>7.92</v>
      </c>
      <c r="F12" s="25">
        <f>'BenchMark Returns'!F16</f>
        <v>11.85</v>
      </c>
      <c r="G12" s="25">
        <f>'BenchMark Returns'!G16</f>
        <v>13.48</v>
      </c>
      <c r="H12" s="25">
        <f>'BenchMark Returns'!H16</f>
        <v>14.38</v>
      </c>
    </row>
  </sheetData>
  <mergeCells count="1">
    <mergeCell ref="M1:N1"/>
  </mergeCells>
  <conditionalFormatting sqref="F3:F8">
    <cfRule type="expression" dxfId="14" priority="2">
      <formula>AND(ISNUMBER(F3),F3&gt;MEDIAN($F$3:$F$8))</formula>
    </cfRule>
  </conditionalFormatting>
  <conditionalFormatting sqref="G3:G8">
    <cfRule type="expression" dxfId="13" priority="3">
      <formula>AND(ISNUMBER(G3),G3&gt;MEDIAN($G$3:$G$8))</formula>
    </cfRule>
  </conditionalFormatting>
  <conditionalFormatting sqref="H3:H8">
    <cfRule type="expression" dxfId="12" priority="4">
      <formula>AND(ISNUMBER(H3),H3&gt;MEDIAN($H$3:$H$8))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1"/>
  <sheetViews>
    <sheetView zoomScale="80" zoomScaleNormal="80" workbookViewId="0">
      <selection activeCell="D10" sqref="D10"/>
    </sheetView>
  </sheetViews>
  <sheetFormatPr defaultColWidth="8.54296875" defaultRowHeight="14.5" x14ac:dyDescent="0.35"/>
  <cols>
    <col min="1" max="1" width="5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2.90625" customWidth="1"/>
    <col min="11" max="11" width="12.90625" customWidth="1"/>
    <col min="12" max="12" width="3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596</v>
      </c>
      <c r="B3" s="18">
        <v>1.1000000000000001</v>
      </c>
      <c r="C3" s="18">
        <v>12.17</v>
      </c>
      <c r="D3" s="18">
        <v>23.34</v>
      </c>
      <c r="E3" s="18">
        <v>14.69</v>
      </c>
      <c r="F3" s="18">
        <v>27.72</v>
      </c>
      <c r="G3" s="18" t="s">
        <v>13</v>
      </c>
      <c r="H3" s="18" t="s">
        <v>13</v>
      </c>
      <c r="I3" s="18">
        <v>24.75</v>
      </c>
      <c r="J3" s="19"/>
      <c r="K3" s="20">
        <v>1573.52</v>
      </c>
      <c r="L3" s="19"/>
      <c r="M3" s="18">
        <v>0.79</v>
      </c>
      <c r="N3" s="18">
        <v>2.11</v>
      </c>
    </row>
    <row r="4" spans="1:14" ht="14.25" customHeight="1" x14ac:dyDescent="0.35">
      <c r="A4" s="17" t="s">
        <v>597</v>
      </c>
      <c r="B4" s="18">
        <v>0.28999999999999998</v>
      </c>
      <c r="C4" s="18">
        <v>8.2799999999999994</v>
      </c>
      <c r="D4" s="18">
        <v>15.25</v>
      </c>
      <c r="E4" s="18">
        <v>6.34</v>
      </c>
      <c r="F4" s="18">
        <v>21.32</v>
      </c>
      <c r="G4" s="18">
        <v>23.38</v>
      </c>
      <c r="H4" s="18" t="s">
        <v>13</v>
      </c>
      <c r="I4" s="18">
        <v>23.67</v>
      </c>
      <c r="J4" s="19"/>
      <c r="K4" s="20">
        <v>692.8</v>
      </c>
      <c r="L4" s="19"/>
      <c r="M4" s="18">
        <v>0.9</v>
      </c>
      <c r="N4" s="18">
        <v>2.39</v>
      </c>
    </row>
    <row r="5" spans="1:14" ht="14.25" customHeight="1" x14ac:dyDescent="0.35">
      <c r="A5" s="17" t="s">
        <v>598</v>
      </c>
      <c r="B5" s="18">
        <v>0.56999999999999995</v>
      </c>
      <c r="C5" s="18">
        <v>9.93</v>
      </c>
      <c r="D5" s="18">
        <v>18.809999999999999</v>
      </c>
      <c r="E5" s="18">
        <v>10.93</v>
      </c>
      <c r="F5" s="18">
        <v>23.48</v>
      </c>
      <c r="G5" s="18" t="s">
        <v>13</v>
      </c>
      <c r="H5" s="18" t="s">
        <v>13</v>
      </c>
      <c r="I5" s="18">
        <v>27.72</v>
      </c>
      <c r="J5" s="19"/>
      <c r="K5" s="20">
        <v>1792.44</v>
      </c>
      <c r="L5" s="19"/>
      <c r="M5" s="18">
        <v>1</v>
      </c>
      <c r="N5" s="18">
        <v>2.15</v>
      </c>
    </row>
    <row r="6" spans="1:14" ht="14.25" customHeight="1" x14ac:dyDescent="0.35">
      <c r="A6" s="17" t="s">
        <v>599</v>
      </c>
      <c r="B6" s="18">
        <v>0.28999999999999998</v>
      </c>
      <c r="C6" s="18">
        <v>11.03</v>
      </c>
      <c r="D6" s="18">
        <v>18.079999999999998</v>
      </c>
      <c r="E6" s="18">
        <v>9.17</v>
      </c>
      <c r="F6" s="18">
        <v>23.39</v>
      </c>
      <c r="G6" s="18">
        <v>26.28</v>
      </c>
      <c r="H6" s="18" t="s">
        <v>13</v>
      </c>
      <c r="I6" s="18">
        <v>26.15</v>
      </c>
      <c r="J6" s="19"/>
      <c r="K6" s="20">
        <v>3490.4</v>
      </c>
      <c r="L6" s="19"/>
      <c r="M6" s="18">
        <v>0.98</v>
      </c>
      <c r="N6" s="18">
        <v>2.0299999999999998</v>
      </c>
    </row>
    <row r="7" spans="1:14" ht="14.25" customHeight="1" x14ac:dyDescent="0.35">
      <c r="A7" s="17" t="s">
        <v>600</v>
      </c>
      <c r="B7" s="18">
        <v>-7.0000000000000007E-2</v>
      </c>
      <c r="C7" s="18">
        <v>8.51</v>
      </c>
      <c r="D7" s="18">
        <v>12.99</v>
      </c>
      <c r="E7" s="18">
        <v>4.6100000000000003</v>
      </c>
      <c r="F7" s="18">
        <v>13.9</v>
      </c>
      <c r="G7" s="18" t="s">
        <v>13</v>
      </c>
      <c r="H7" s="18" t="s">
        <v>13</v>
      </c>
      <c r="I7" s="18">
        <v>13.69</v>
      </c>
      <c r="J7" s="19"/>
      <c r="K7" s="20">
        <v>510.32</v>
      </c>
      <c r="L7" s="19"/>
      <c r="M7" s="18">
        <v>0.83</v>
      </c>
      <c r="N7" s="18">
        <v>2.41</v>
      </c>
    </row>
    <row r="8" spans="1:14" ht="14.25" customHeight="1" x14ac:dyDescent="0.35">
      <c r="A8" s="17" t="s">
        <v>601</v>
      </c>
      <c r="B8" s="18">
        <v>-0.32</v>
      </c>
      <c r="C8" s="18">
        <v>8.41</v>
      </c>
      <c r="D8" s="18">
        <v>13.07</v>
      </c>
      <c r="E8" s="18">
        <v>4.41</v>
      </c>
      <c r="F8" s="18">
        <v>16.170000000000002</v>
      </c>
      <c r="G8" s="18">
        <v>21.67</v>
      </c>
      <c r="H8" s="18">
        <v>21.9</v>
      </c>
      <c r="I8" s="18">
        <v>19.13</v>
      </c>
      <c r="J8" s="19"/>
      <c r="K8" s="20">
        <v>3962.19</v>
      </c>
      <c r="L8" s="19"/>
      <c r="M8" s="18">
        <v>0.82</v>
      </c>
      <c r="N8" s="18">
        <v>1.91</v>
      </c>
    </row>
    <row r="9" spans="1:14" ht="14.25" customHeight="1" x14ac:dyDescent="0.35">
      <c r="A9" s="21" t="s">
        <v>49</v>
      </c>
      <c r="B9" s="22">
        <f t="shared" ref="B9:I9" si="0">MEDIAN(B3:B8)</f>
        <v>0.28999999999999998</v>
      </c>
      <c r="C9" s="22">
        <f t="shared" si="0"/>
        <v>9.2199999999999989</v>
      </c>
      <c r="D9" s="22">
        <f>MEDIAN(D3:D8)</f>
        <v>16.664999999999999</v>
      </c>
      <c r="E9" s="22">
        <f t="shared" si="0"/>
        <v>7.7549999999999999</v>
      </c>
      <c r="F9" s="22">
        <f t="shared" si="0"/>
        <v>22.355</v>
      </c>
      <c r="G9" s="22">
        <f t="shared" si="0"/>
        <v>23.38</v>
      </c>
      <c r="H9" s="22">
        <f t="shared" si="0"/>
        <v>21.9</v>
      </c>
      <c r="I9" s="22">
        <f t="shared" si="0"/>
        <v>24.21</v>
      </c>
    </row>
    <row r="10" spans="1:14" x14ac:dyDescent="0.35">
      <c r="A10" s="2" t="s">
        <v>50</v>
      </c>
      <c r="B10" s="5" t="s">
        <v>13</v>
      </c>
      <c r="C10" s="5" t="s">
        <v>13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</row>
    <row r="11" spans="1:14" ht="14.25" customHeight="1" x14ac:dyDescent="0.35">
      <c r="A11" s="23" t="s">
        <v>129</v>
      </c>
      <c r="B11" s="24">
        <f>'BenchMark Returns'!B10</f>
        <v>-0.48</v>
      </c>
      <c r="C11" s="24">
        <f>'BenchMark Returns'!C10</f>
        <v>1.92</v>
      </c>
      <c r="D11" s="24">
        <f>'BenchMark Returns'!D10</f>
        <v>4.93</v>
      </c>
      <c r="E11" s="24">
        <f>'BenchMark Returns'!E10</f>
        <v>1.85</v>
      </c>
      <c r="F11" s="24">
        <f>'BenchMark Returns'!F10</f>
        <v>4.99</v>
      </c>
      <c r="G11" s="24">
        <f>'BenchMark Returns'!G10</f>
        <v>13</v>
      </c>
      <c r="H11" s="24">
        <f>'BenchMark Returns'!H10</f>
        <v>12.02</v>
      </c>
    </row>
  </sheetData>
  <mergeCells count="1">
    <mergeCell ref="M1:N1"/>
  </mergeCells>
  <conditionalFormatting sqref="F3:F8">
    <cfRule type="expression" dxfId="11" priority="2">
      <formula>AND(ISNUMBER(F3),F3&gt;MEDIAN($F$3:$F$8))</formula>
    </cfRule>
  </conditionalFormatting>
  <conditionalFormatting sqref="G3:G8">
    <cfRule type="expression" dxfId="10" priority="3">
      <formula>AND(ISNUMBER(G3),G3&gt;MEDIAN($G$3:$G$8))</formula>
    </cfRule>
  </conditionalFormatting>
  <conditionalFormatting sqref="H3:H8">
    <cfRule type="expression" dxfId="9" priority="4">
      <formula>AND(ISNUMBER(H3),H3&gt;MEDIAN($H$3:$H$8))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9"/>
  <sheetViews>
    <sheetView zoomScale="80" zoomScaleNormal="80" workbookViewId="0">
      <selection activeCell="N7" sqref="N7"/>
    </sheetView>
  </sheetViews>
  <sheetFormatPr defaultColWidth="8.54296875" defaultRowHeight="14.5" x14ac:dyDescent="0.35"/>
  <cols>
    <col min="1" max="1" width="39.269531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26953125" customWidth="1"/>
    <col min="11" max="11" width="12.90625" customWidth="1"/>
    <col min="12" max="12" width="3.26953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602</v>
      </c>
      <c r="B3" s="18">
        <v>0</v>
      </c>
      <c r="C3" s="18">
        <v>0.8</v>
      </c>
      <c r="D3" s="18">
        <v>7.9</v>
      </c>
      <c r="E3" s="18">
        <v>3.99</v>
      </c>
      <c r="F3" s="18">
        <v>1.3</v>
      </c>
      <c r="G3" s="18" t="s">
        <v>13</v>
      </c>
      <c r="H3" s="18" t="s">
        <v>13</v>
      </c>
      <c r="I3" s="18">
        <v>1.04</v>
      </c>
      <c r="J3" s="19"/>
      <c r="K3" s="20">
        <v>1625</v>
      </c>
      <c r="L3" s="19"/>
      <c r="M3" s="18">
        <v>0.78</v>
      </c>
      <c r="N3" s="18">
        <v>2.13</v>
      </c>
    </row>
    <row r="4" spans="1:14" ht="14.25" customHeight="1" x14ac:dyDescent="0.35">
      <c r="A4" s="17" t="s">
        <v>603</v>
      </c>
      <c r="B4" s="18">
        <v>-0.05</v>
      </c>
      <c r="C4" s="18">
        <v>1.3</v>
      </c>
      <c r="D4" s="18">
        <v>7.36</v>
      </c>
      <c r="E4" s="18" t="s">
        <v>13</v>
      </c>
      <c r="F4" s="18" t="s">
        <v>13</v>
      </c>
      <c r="G4" s="18" t="s">
        <v>13</v>
      </c>
      <c r="H4" s="18" t="s">
        <v>13</v>
      </c>
      <c r="I4" s="18">
        <v>6.29</v>
      </c>
      <c r="J4" s="19"/>
      <c r="K4" s="20">
        <v>749.06</v>
      </c>
      <c r="L4" s="19"/>
      <c r="M4" s="18">
        <v>0.92</v>
      </c>
      <c r="N4" s="18">
        <v>2.35</v>
      </c>
    </row>
    <row r="5" spans="1:14" ht="14.25" customHeight="1" x14ac:dyDescent="0.35">
      <c r="A5" s="17" t="s">
        <v>604</v>
      </c>
      <c r="B5" s="18">
        <v>0.53</v>
      </c>
      <c r="C5" s="18">
        <v>2.4300000000000002</v>
      </c>
      <c r="D5" s="18">
        <v>11.81</v>
      </c>
      <c r="E5" s="18">
        <v>14.37</v>
      </c>
      <c r="F5" s="18">
        <v>15.67</v>
      </c>
      <c r="G5" s="18" t="s">
        <v>13</v>
      </c>
      <c r="H5" s="18" t="s">
        <v>13</v>
      </c>
      <c r="I5" s="18">
        <v>15.26</v>
      </c>
      <c r="J5" s="19"/>
      <c r="K5" s="20">
        <v>119.63</v>
      </c>
      <c r="L5" s="19"/>
      <c r="M5" s="18">
        <v>0.81</v>
      </c>
      <c r="N5" s="18">
        <v>2.36</v>
      </c>
    </row>
    <row r="6" spans="1:14" ht="14.25" customHeight="1" x14ac:dyDescent="0.35">
      <c r="A6" s="17" t="s">
        <v>605</v>
      </c>
      <c r="B6" s="18">
        <v>0.42</v>
      </c>
      <c r="C6" s="18">
        <v>2.31</v>
      </c>
      <c r="D6" s="18">
        <v>10.91</v>
      </c>
      <c r="E6" s="18">
        <v>6.97</v>
      </c>
      <c r="F6" s="18">
        <v>9.41</v>
      </c>
      <c r="G6" s="18">
        <v>16.64</v>
      </c>
      <c r="H6" s="18">
        <v>15.75</v>
      </c>
      <c r="I6" s="18">
        <v>19.47</v>
      </c>
      <c r="J6" s="19"/>
      <c r="K6" s="20">
        <v>4933.9799999999996</v>
      </c>
      <c r="L6" s="19"/>
      <c r="M6" s="18">
        <v>0.69</v>
      </c>
      <c r="N6" s="18">
        <v>1.88</v>
      </c>
    </row>
    <row r="7" spans="1:14" ht="14.25" customHeight="1" x14ac:dyDescent="0.35">
      <c r="A7" s="21" t="s">
        <v>49</v>
      </c>
      <c r="B7" s="22">
        <f t="shared" ref="B7:I7" si="0">MEDIAN(B3:B6)</f>
        <v>0.21</v>
      </c>
      <c r="C7" s="22">
        <f t="shared" si="0"/>
        <v>1.8050000000000002</v>
      </c>
      <c r="D7" s="22">
        <f>MEDIAN(D3:D6)</f>
        <v>9.4050000000000011</v>
      </c>
      <c r="E7" s="22">
        <f>MEDIAN(E3:E6)</f>
        <v>6.97</v>
      </c>
      <c r="F7" s="22">
        <f t="shared" si="0"/>
        <v>9.41</v>
      </c>
      <c r="G7" s="22">
        <f t="shared" si="0"/>
        <v>16.64</v>
      </c>
      <c r="H7" s="22">
        <f t="shared" si="0"/>
        <v>15.75</v>
      </c>
      <c r="I7" s="22">
        <f t="shared" si="0"/>
        <v>10.774999999999999</v>
      </c>
    </row>
    <row r="8" spans="1:14" x14ac:dyDescent="0.35">
      <c r="A8" s="2" t="s">
        <v>50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</row>
    <row r="9" spans="1:14" ht="14.25" customHeight="1" x14ac:dyDescent="0.35">
      <c r="A9" s="23" t="s">
        <v>129</v>
      </c>
      <c r="B9" s="24">
        <f>'BenchMark Returns'!B10</f>
        <v>-0.48</v>
      </c>
      <c r="C9" s="24">
        <f>'BenchMark Returns'!C10</f>
        <v>1.92</v>
      </c>
      <c r="D9" s="24">
        <f>'BenchMark Returns'!D10</f>
        <v>4.93</v>
      </c>
      <c r="E9" s="24">
        <f>'BenchMark Returns'!E10</f>
        <v>1.85</v>
      </c>
      <c r="F9" s="24">
        <f>'BenchMark Returns'!F10</f>
        <v>4.99</v>
      </c>
      <c r="G9" s="24">
        <f>'BenchMark Returns'!G10</f>
        <v>13</v>
      </c>
      <c r="H9" s="24">
        <f>'BenchMark Returns'!H10</f>
        <v>12.02</v>
      </c>
    </row>
  </sheetData>
  <mergeCells count="1">
    <mergeCell ref="M1:N1"/>
  </mergeCells>
  <conditionalFormatting sqref="F3:F6">
    <cfRule type="expression" dxfId="8" priority="2">
      <formula>AND(ISNUMBER(F3),F3&gt;MEDIAN($F$3:$F$6))</formula>
    </cfRule>
  </conditionalFormatting>
  <conditionalFormatting sqref="G3:G6">
    <cfRule type="expression" dxfId="7" priority="3">
      <formula>AND(ISNUMBER(G3),G3&gt;MEDIAN($G$3:$G$6))</formula>
    </cfRule>
  </conditionalFormatting>
  <conditionalFormatting sqref="H3:H6">
    <cfRule type="expression" dxfId="6" priority="4">
      <formula>AND(ISNUMBER(H3),H3&gt;MEDIAN($H$3:$H$6))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7"/>
  <sheetViews>
    <sheetView zoomScale="80" zoomScaleNormal="80" workbookViewId="0">
      <selection activeCell="A4" sqref="A4:XFD4"/>
    </sheetView>
  </sheetViews>
  <sheetFormatPr defaultColWidth="8.54296875" defaultRowHeight="14.5" x14ac:dyDescent="0.35"/>
  <cols>
    <col min="1" max="1" width="46.6328125" customWidth="1"/>
    <col min="2" max="2" width="6.81640625" customWidth="1"/>
    <col min="3" max="3" width="7.453125" customWidth="1"/>
    <col min="4" max="5" width="8.36328125" customWidth="1"/>
    <col min="6" max="6" width="5.90625" customWidth="1"/>
    <col min="7" max="8" width="6.81640625" customWidth="1"/>
    <col min="9" max="9" width="14" customWidth="1"/>
    <col min="10" max="10" width="3.7265625" customWidth="1"/>
    <col min="11" max="11" width="12.90625" customWidth="1"/>
    <col min="12" max="12" width="3.6328125" customWidth="1"/>
    <col min="13" max="13" width="5.90625" customWidth="1"/>
    <col min="14" max="14" width="7.17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16"/>
      <c r="K2" s="15" t="s">
        <v>9</v>
      </c>
      <c r="L2" s="16"/>
      <c r="M2" s="15" t="s">
        <v>10</v>
      </c>
      <c r="N2" s="15" t="s">
        <v>11</v>
      </c>
    </row>
    <row r="3" spans="1:14" ht="14.25" customHeight="1" x14ac:dyDescent="0.35">
      <c r="A3" s="17" t="s">
        <v>606</v>
      </c>
      <c r="B3" s="18">
        <v>0.64</v>
      </c>
      <c r="C3" s="18">
        <v>7.3</v>
      </c>
      <c r="D3" s="18">
        <v>16.170000000000002</v>
      </c>
      <c r="E3" s="18">
        <v>18.75</v>
      </c>
      <c r="F3" s="18">
        <v>24.72</v>
      </c>
      <c r="G3" s="18" t="s">
        <v>13</v>
      </c>
      <c r="H3" s="18" t="s">
        <v>13</v>
      </c>
      <c r="I3" s="18">
        <v>9.8699999999999992</v>
      </c>
      <c r="J3" s="19"/>
      <c r="K3" s="20">
        <v>1200.57</v>
      </c>
      <c r="L3" s="19"/>
      <c r="M3" s="17">
        <v>1.04</v>
      </c>
      <c r="N3" s="17">
        <v>2.2400000000000002</v>
      </c>
    </row>
    <row r="4" spans="1:14" ht="14.25" customHeight="1" x14ac:dyDescent="0.35">
      <c r="A4" s="17" t="s">
        <v>607</v>
      </c>
      <c r="B4" s="18">
        <v>0.13</v>
      </c>
      <c r="C4" s="18">
        <v>3.17</v>
      </c>
      <c r="D4" s="18">
        <v>7.77</v>
      </c>
      <c r="E4" s="18">
        <v>3.89</v>
      </c>
      <c r="F4" s="18">
        <v>6.57</v>
      </c>
      <c r="G4" s="18">
        <v>16.829999999999998</v>
      </c>
      <c r="H4" s="18">
        <v>15.41</v>
      </c>
      <c r="I4" s="18">
        <v>18.23</v>
      </c>
      <c r="J4" s="19"/>
      <c r="K4" s="20">
        <v>1397.12</v>
      </c>
      <c r="L4" s="19"/>
      <c r="M4" s="17">
        <v>1.67</v>
      </c>
      <c r="N4" s="17">
        <v>2.29</v>
      </c>
    </row>
    <row r="5" spans="1:14" ht="14.25" customHeight="1" x14ac:dyDescent="0.35">
      <c r="A5" s="21" t="s">
        <v>49</v>
      </c>
      <c r="B5" s="22">
        <f t="shared" ref="B5:I5" si="0">MEDIAN(B3:B4)</f>
        <v>0.38500000000000001</v>
      </c>
      <c r="C5" s="22">
        <f t="shared" si="0"/>
        <v>5.2349999999999994</v>
      </c>
      <c r="D5" s="22">
        <f t="shared" si="0"/>
        <v>11.97</v>
      </c>
      <c r="E5" s="22">
        <f t="shared" si="0"/>
        <v>11.32</v>
      </c>
      <c r="F5" s="22">
        <f t="shared" si="0"/>
        <v>15.645</v>
      </c>
      <c r="G5" s="22">
        <f t="shared" si="0"/>
        <v>16.829999999999998</v>
      </c>
      <c r="H5" s="22">
        <f t="shared" si="0"/>
        <v>15.41</v>
      </c>
      <c r="I5" s="22">
        <f t="shared" si="0"/>
        <v>14.05</v>
      </c>
    </row>
    <row r="6" spans="1:14" x14ac:dyDescent="0.35">
      <c r="A6" s="2" t="s">
        <v>50</v>
      </c>
      <c r="B6" s="5" t="s">
        <v>13</v>
      </c>
      <c r="C6" s="5" t="s">
        <v>13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</row>
    <row r="7" spans="1:14" ht="14.25" customHeight="1" x14ac:dyDescent="0.35">
      <c r="A7" s="33" t="s">
        <v>129</v>
      </c>
      <c r="B7" s="24">
        <f>'BenchMark Returns'!B10</f>
        <v>-0.48</v>
      </c>
      <c r="C7" s="24">
        <f>'BenchMark Returns'!C10</f>
        <v>1.92</v>
      </c>
      <c r="D7" s="24">
        <f>'BenchMark Returns'!D10</f>
        <v>4.93</v>
      </c>
      <c r="E7" s="24">
        <f>'BenchMark Returns'!E10</f>
        <v>1.85</v>
      </c>
      <c r="F7" s="24">
        <f>'BenchMark Returns'!F10</f>
        <v>4.99</v>
      </c>
      <c r="G7" s="24">
        <f>'BenchMark Returns'!G10</f>
        <v>13</v>
      </c>
      <c r="H7" s="24">
        <f>'BenchMark Returns'!H10</f>
        <v>12.02</v>
      </c>
    </row>
  </sheetData>
  <mergeCells count="1">
    <mergeCell ref="M1:N1"/>
  </mergeCells>
  <conditionalFormatting sqref="F3:F4">
    <cfRule type="expression" dxfId="5" priority="2">
      <formula>AND(ISNUMBER(F3),F3&gt;MEDIAN($F$3:$F$4))</formula>
    </cfRule>
  </conditionalFormatting>
  <conditionalFormatting sqref="G3:G4">
    <cfRule type="expression" dxfId="4" priority="3">
      <formula>AND(ISNUMBER(G3),G3&gt;MEDIAN($G$3:$G$4))</formula>
    </cfRule>
  </conditionalFormatting>
  <conditionalFormatting sqref="H3:H4">
    <cfRule type="expression" dxfId="3" priority="4">
      <formula>AND(ISNUMBER(H3),H3&gt;MEDIAN($H$3:$H$4))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73"/>
  <sheetViews>
    <sheetView tabSelected="1" zoomScale="70" zoomScaleNormal="70" workbookViewId="0">
      <selection activeCell="R49" sqref="R49"/>
    </sheetView>
  </sheetViews>
  <sheetFormatPr defaultColWidth="8.54296875" defaultRowHeight="14.5" x14ac:dyDescent="0.35"/>
  <cols>
    <col min="1" max="1" width="63.36328125" customWidth="1"/>
    <col min="2" max="2" width="7.1796875" customWidth="1"/>
    <col min="3" max="3" width="7.6328125" customWidth="1"/>
    <col min="6" max="6" width="6.08984375" customWidth="1"/>
    <col min="7" max="8" width="7" customWidth="1"/>
    <col min="9" max="9" width="14.26953125" customWidth="1"/>
    <col min="10" max="10" width="2.7265625" customWidth="1"/>
    <col min="11" max="11" width="13.08984375" customWidth="1"/>
    <col min="12" max="12" width="2.81640625" customWidth="1"/>
    <col min="13" max="13" width="6.26953125" customWidth="1"/>
    <col min="14" max="14" width="7.36328125" customWidth="1"/>
    <col min="15" max="15" width="2.54296875" customWidth="1"/>
  </cols>
  <sheetData>
    <row r="1" spans="1:14" ht="14.25" customHeight="1" x14ac:dyDescent="0.35">
      <c r="A1" s="1" t="str">
        <f>'Small Cap'!A1</f>
        <v>( As on 14-08-26 )</v>
      </c>
      <c r="M1" s="34">
        <v>46082</v>
      </c>
      <c r="N1" s="34"/>
    </row>
    <row r="2" spans="1:14" ht="14.25" customHeight="1" x14ac:dyDescent="0.35">
      <c r="A2" s="1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K2" s="15" t="s">
        <v>9</v>
      </c>
      <c r="L2" s="16"/>
      <c r="M2" s="27" t="s">
        <v>10</v>
      </c>
      <c r="N2" s="27" t="s">
        <v>11</v>
      </c>
    </row>
    <row r="3" spans="1:14" ht="14.25" customHeight="1" x14ac:dyDescent="0.35">
      <c r="A3" s="4" t="s">
        <v>608</v>
      </c>
      <c r="B3" s="31">
        <v>-0.99</v>
      </c>
      <c r="C3" s="31">
        <v>2.54</v>
      </c>
      <c r="D3" s="31">
        <v>3.75</v>
      </c>
      <c r="E3" s="31">
        <v>1.0900000000000001</v>
      </c>
      <c r="F3" s="31">
        <v>7.88</v>
      </c>
      <c r="G3" s="31">
        <v>14.2</v>
      </c>
      <c r="H3" s="31">
        <v>13.34</v>
      </c>
      <c r="I3" s="31">
        <v>13.6</v>
      </c>
      <c r="K3" s="20">
        <v>497.72</v>
      </c>
      <c r="L3" s="19"/>
      <c r="M3" s="18">
        <v>0.42</v>
      </c>
      <c r="N3" s="18">
        <v>1.04</v>
      </c>
    </row>
    <row r="4" spans="1:14" ht="14.25" customHeight="1" x14ac:dyDescent="0.35">
      <c r="A4" s="4" t="s">
        <v>609</v>
      </c>
      <c r="B4" s="31">
        <v>1.81</v>
      </c>
      <c r="C4" s="31">
        <v>3.4</v>
      </c>
      <c r="D4" s="31">
        <v>2.77</v>
      </c>
      <c r="E4" s="31">
        <v>7.38</v>
      </c>
      <c r="F4" s="5" t="s">
        <v>13</v>
      </c>
      <c r="G4" s="5" t="s">
        <v>13</v>
      </c>
      <c r="H4" s="5" t="s">
        <v>13</v>
      </c>
      <c r="I4" s="31">
        <v>4.17</v>
      </c>
      <c r="K4" s="20">
        <v>35.67</v>
      </c>
      <c r="L4" s="19"/>
      <c r="M4" s="18">
        <v>0.34</v>
      </c>
      <c r="N4" s="18">
        <v>1.04</v>
      </c>
    </row>
    <row r="5" spans="1:14" ht="14.25" customHeight="1" x14ac:dyDescent="0.35">
      <c r="A5" s="4" t="s">
        <v>610</v>
      </c>
      <c r="B5" s="31">
        <v>0.54</v>
      </c>
      <c r="C5" s="31">
        <v>2.59</v>
      </c>
      <c r="D5" s="31">
        <v>3.88</v>
      </c>
      <c r="E5" s="31">
        <v>4.82</v>
      </c>
      <c r="F5" s="31">
        <v>6.5</v>
      </c>
      <c r="G5" s="5" t="s">
        <v>13</v>
      </c>
      <c r="H5" s="5" t="s">
        <v>13</v>
      </c>
      <c r="I5" s="31">
        <v>8.59</v>
      </c>
      <c r="K5" s="20">
        <v>162.59</v>
      </c>
      <c r="M5" s="18">
        <v>0.15</v>
      </c>
      <c r="N5" s="18">
        <v>1.05</v>
      </c>
    </row>
    <row r="6" spans="1:14" ht="14.25" customHeight="1" x14ac:dyDescent="0.35">
      <c r="A6" s="4" t="s">
        <v>611</v>
      </c>
      <c r="B6" s="31">
        <v>-0.18</v>
      </c>
      <c r="C6" s="31">
        <v>1.97</v>
      </c>
      <c r="D6" s="31">
        <v>3.73</v>
      </c>
      <c r="E6" s="31">
        <v>8.8000000000000007</v>
      </c>
      <c r="F6" s="5" t="s">
        <v>13</v>
      </c>
      <c r="G6" s="5" t="s">
        <v>13</v>
      </c>
      <c r="H6" s="5" t="s">
        <v>13</v>
      </c>
      <c r="I6" s="31">
        <v>3.76</v>
      </c>
      <c r="K6" s="20">
        <v>77.040000000000006</v>
      </c>
      <c r="M6" s="18">
        <v>0.16</v>
      </c>
      <c r="N6" s="18">
        <v>1.06</v>
      </c>
    </row>
    <row r="7" spans="1:14" ht="14.25" customHeight="1" x14ac:dyDescent="0.35">
      <c r="A7" s="4" t="s">
        <v>612</v>
      </c>
      <c r="B7" s="31">
        <v>-2.0499999999999998</v>
      </c>
      <c r="C7" s="31">
        <v>0.88</v>
      </c>
      <c r="D7" s="31">
        <v>-2.74</v>
      </c>
      <c r="E7" s="31">
        <v>-0.34</v>
      </c>
      <c r="F7" s="31">
        <v>18.010000000000002</v>
      </c>
      <c r="G7" s="5" t="s">
        <v>13</v>
      </c>
      <c r="H7" s="5" t="s">
        <v>13</v>
      </c>
      <c r="I7" s="31">
        <v>8.11</v>
      </c>
      <c r="K7" s="20">
        <v>218.49</v>
      </c>
      <c r="M7" s="18">
        <v>0.17</v>
      </c>
      <c r="N7" s="18">
        <v>1.05</v>
      </c>
    </row>
    <row r="8" spans="1:14" ht="14.25" customHeight="1" x14ac:dyDescent="0.35">
      <c r="A8" s="4" t="s">
        <v>613</v>
      </c>
      <c r="B8" s="31">
        <v>-0.56999999999999995</v>
      </c>
      <c r="C8" s="31">
        <v>5.01</v>
      </c>
      <c r="D8" s="31">
        <v>4.67</v>
      </c>
      <c r="E8" s="31">
        <v>3.81</v>
      </c>
      <c r="F8" s="31">
        <v>4.87</v>
      </c>
      <c r="G8" s="5" t="s">
        <v>13</v>
      </c>
      <c r="H8" s="5" t="s">
        <v>13</v>
      </c>
      <c r="I8" s="31">
        <v>-0.37</v>
      </c>
      <c r="K8" s="20">
        <v>10.92</v>
      </c>
      <c r="M8" s="18">
        <v>0.37</v>
      </c>
      <c r="N8" s="18">
        <v>1.02</v>
      </c>
    </row>
    <row r="9" spans="1:14" ht="14.25" customHeight="1" x14ac:dyDescent="0.35">
      <c r="A9" s="4" t="s">
        <v>614</v>
      </c>
      <c r="B9" s="31">
        <v>0.54</v>
      </c>
      <c r="C9" s="31">
        <v>2.56</v>
      </c>
      <c r="D9" s="31">
        <v>3.85</v>
      </c>
      <c r="E9" s="31">
        <v>4.6100000000000003</v>
      </c>
      <c r="F9" s="31">
        <v>6.24</v>
      </c>
      <c r="G9" s="5" t="s">
        <v>13</v>
      </c>
      <c r="H9" s="5" t="s">
        <v>13</v>
      </c>
      <c r="I9" s="31">
        <v>-4.79</v>
      </c>
      <c r="K9" s="20">
        <v>35.56</v>
      </c>
      <c r="M9" s="18">
        <v>0.37</v>
      </c>
      <c r="N9" s="18">
        <v>1.02</v>
      </c>
    </row>
    <row r="10" spans="1:14" ht="14.25" customHeight="1" x14ac:dyDescent="0.35">
      <c r="A10" s="4" t="s">
        <v>615</v>
      </c>
      <c r="B10" s="31">
        <v>-2.0499999999999998</v>
      </c>
      <c r="C10" s="31">
        <v>0.86</v>
      </c>
      <c r="D10" s="31">
        <v>-2.9</v>
      </c>
      <c r="E10" s="31">
        <v>-0.65</v>
      </c>
      <c r="F10" s="31">
        <v>17.5</v>
      </c>
      <c r="G10" s="5" t="s">
        <v>13</v>
      </c>
      <c r="H10" s="5" t="s">
        <v>13</v>
      </c>
      <c r="I10" s="31">
        <v>7.51</v>
      </c>
      <c r="K10" s="20">
        <v>36.76</v>
      </c>
      <c r="M10" s="18">
        <v>0.37</v>
      </c>
      <c r="N10" s="18">
        <v>1.02</v>
      </c>
    </row>
    <row r="11" spans="1:14" ht="14.25" customHeight="1" x14ac:dyDescent="0.35">
      <c r="A11" s="4" t="s">
        <v>616</v>
      </c>
      <c r="B11" s="31">
        <v>0.28999999999999998</v>
      </c>
      <c r="C11" s="31">
        <v>4.1500000000000004</v>
      </c>
      <c r="D11" s="31">
        <v>7.81</v>
      </c>
      <c r="E11" s="31">
        <v>11.55</v>
      </c>
      <c r="F11" s="31">
        <v>11.41</v>
      </c>
      <c r="G11" s="5" t="s">
        <v>13</v>
      </c>
      <c r="H11" s="5" t="s">
        <v>13</v>
      </c>
      <c r="I11" s="31">
        <v>15.2</v>
      </c>
      <c r="K11" s="20">
        <v>580.47</v>
      </c>
      <c r="M11" s="18">
        <v>0.35</v>
      </c>
      <c r="N11" s="18">
        <v>1.02</v>
      </c>
    </row>
    <row r="12" spans="1:14" ht="14.25" customHeight="1" x14ac:dyDescent="0.35">
      <c r="A12" s="4" t="s">
        <v>617</v>
      </c>
      <c r="B12" s="31">
        <v>-1.01</v>
      </c>
      <c r="C12" s="31">
        <v>2.88</v>
      </c>
      <c r="D12" s="31">
        <v>6.44</v>
      </c>
      <c r="E12" s="31">
        <v>1.1100000000000001</v>
      </c>
      <c r="F12" s="31">
        <v>4.91</v>
      </c>
      <c r="G12" s="5" t="s">
        <v>13</v>
      </c>
      <c r="H12" s="5" t="s">
        <v>13</v>
      </c>
      <c r="I12" s="31">
        <v>3.16</v>
      </c>
      <c r="K12" s="20">
        <v>8.76</v>
      </c>
      <c r="M12" s="18">
        <v>0.28000000000000003</v>
      </c>
      <c r="N12" s="18">
        <v>1.03</v>
      </c>
    </row>
    <row r="13" spans="1:14" ht="14.25" customHeight="1" x14ac:dyDescent="0.35">
      <c r="A13" s="4" t="s">
        <v>618</v>
      </c>
      <c r="B13" s="31">
        <v>-0.93</v>
      </c>
      <c r="C13" s="31">
        <v>2.9</v>
      </c>
      <c r="D13" s="31">
        <v>5.19</v>
      </c>
      <c r="E13" s="31">
        <v>0.45</v>
      </c>
      <c r="F13" s="31">
        <v>3.47</v>
      </c>
      <c r="G13" s="31">
        <v>11.72</v>
      </c>
      <c r="H13" s="5" t="s">
        <v>13</v>
      </c>
      <c r="I13" s="31">
        <v>13.3</v>
      </c>
      <c r="K13" s="20">
        <v>1660.23</v>
      </c>
      <c r="M13" s="18">
        <v>0.35</v>
      </c>
      <c r="N13" s="18">
        <v>1.04</v>
      </c>
    </row>
    <row r="14" spans="1:14" ht="14.25" customHeight="1" x14ac:dyDescent="0.35">
      <c r="A14" s="4" t="s">
        <v>619</v>
      </c>
      <c r="B14" s="31">
        <v>0.05</v>
      </c>
      <c r="C14" s="31">
        <v>1.29</v>
      </c>
      <c r="D14" s="31">
        <v>2.27</v>
      </c>
      <c r="E14" s="31">
        <v>-1.07</v>
      </c>
      <c r="F14" s="31">
        <v>2.5</v>
      </c>
      <c r="G14" s="31">
        <v>12.43</v>
      </c>
      <c r="H14" s="5" t="s">
        <v>13</v>
      </c>
      <c r="I14" s="31">
        <v>12.38</v>
      </c>
      <c r="K14" s="20">
        <v>124.33</v>
      </c>
      <c r="M14" s="18">
        <v>0.42</v>
      </c>
      <c r="N14" s="18">
        <v>1.07</v>
      </c>
    </row>
    <row r="15" spans="1:14" ht="14.25" customHeight="1" x14ac:dyDescent="0.35">
      <c r="A15" s="4" t="s">
        <v>620</v>
      </c>
      <c r="B15" s="31">
        <v>0.05</v>
      </c>
      <c r="C15" s="31">
        <v>1.27</v>
      </c>
      <c r="D15" s="31">
        <v>2.2799999999999998</v>
      </c>
      <c r="E15" s="31">
        <v>-1.1399999999999999</v>
      </c>
      <c r="F15" s="31">
        <v>2.2000000000000002</v>
      </c>
      <c r="G15" s="5" t="s">
        <v>13</v>
      </c>
      <c r="H15" s="5" t="s">
        <v>13</v>
      </c>
      <c r="I15" s="31">
        <v>-10.23</v>
      </c>
      <c r="K15" s="20">
        <v>22.35</v>
      </c>
      <c r="M15" s="18">
        <v>0.47</v>
      </c>
      <c r="N15" s="18">
        <v>1.1000000000000001</v>
      </c>
    </row>
    <row r="16" spans="1:14" ht="14.25" customHeight="1" x14ac:dyDescent="0.35">
      <c r="A16" s="4" t="s">
        <v>621</v>
      </c>
      <c r="B16" s="31">
        <v>-0.98</v>
      </c>
      <c r="C16" s="31">
        <v>2.5299999999999998</v>
      </c>
      <c r="D16" s="31">
        <v>3.76</v>
      </c>
      <c r="E16" s="31">
        <v>1.1000000000000001</v>
      </c>
      <c r="F16" s="31">
        <v>7.93</v>
      </c>
      <c r="G16" s="31">
        <v>14.24</v>
      </c>
      <c r="H16" s="31">
        <v>13.45</v>
      </c>
      <c r="I16" s="31">
        <v>12.36</v>
      </c>
      <c r="K16" s="20">
        <v>2585.02</v>
      </c>
      <c r="M16" s="18">
        <v>0.4</v>
      </c>
      <c r="N16" s="18">
        <v>0.93</v>
      </c>
    </row>
    <row r="17" spans="1:14" ht="14.25" customHeight="1" x14ac:dyDescent="0.35">
      <c r="A17" s="4" t="s">
        <v>622</v>
      </c>
      <c r="B17" s="31">
        <v>0.01</v>
      </c>
      <c r="C17" s="31">
        <v>3.41</v>
      </c>
      <c r="D17" s="31">
        <v>6.05</v>
      </c>
      <c r="E17" s="31">
        <v>7.18</v>
      </c>
      <c r="F17" s="31">
        <v>4.7300000000000004</v>
      </c>
      <c r="G17" s="31">
        <v>11.46</v>
      </c>
      <c r="H17" s="5" t="s">
        <v>13</v>
      </c>
      <c r="I17" s="31">
        <v>11.01</v>
      </c>
      <c r="K17" s="20">
        <v>433.74</v>
      </c>
      <c r="M17" s="18">
        <v>0.28999999999999998</v>
      </c>
      <c r="N17" s="18">
        <v>0.87</v>
      </c>
    </row>
    <row r="18" spans="1:14" ht="14.25" customHeight="1" x14ac:dyDescent="0.35">
      <c r="A18" s="4" t="s">
        <v>623</v>
      </c>
      <c r="B18" s="31">
        <v>0.28999999999999998</v>
      </c>
      <c r="C18" s="31">
        <v>2.36</v>
      </c>
      <c r="D18" s="31">
        <v>4.96</v>
      </c>
      <c r="E18" s="31">
        <v>5.85</v>
      </c>
      <c r="F18" s="31">
        <v>-2.33</v>
      </c>
      <c r="G18" s="5" t="s">
        <v>13</v>
      </c>
      <c r="H18" s="5" t="s">
        <v>13</v>
      </c>
      <c r="I18" s="31">
        <v>5.07</v>
      </c>
      <c r="K18" s="20">
        <v>311.12</v>
      </c>
      <c r="M18" s="18">
        <v>0.16</v>
      </c>
      <c r="N18" s="18">
        <v>0.82</v>
      </c>
    </row>
    <row r="19" spans="1:14" ht="14.25" customHeight="1" x14ac:dyDescent="0.35">
      <c r="A19" s="4" t="s">
        <v>624</v>
      </c>
      <c r="B19" s="31">
        <v>-0.99</v>
      </c>
      <c r="C19" s="31">
        <v>1.37</v>
      </c>
      <c r="D19" s="31">
        <v>3.05</v>
      </c>
      <c r="E19" s="31">
        <v>-6.93</v>
      </c>
      <c r="F19" s="31">
        <v>-6.36</v>
      </c>
      <c r="G19" s="5" t="s">
        <v>13</v>
      </c>
      <c r="H19" s="5" t="s">
        <v>13</v>
      </c>
      <c r="I19" s="31">
        <v>-4.7699999999999996</v>
      </c>
      <c r="K19" s="20">
        <v>1116.8699999999999</v>
      </c>
      <c r="M19" s="18">
        <v>0.24</v>
      </c>
      <c r="N19" s="18">
        <v>0.9</v>
      </c>
    </row>
    <row r="20" spans="1:14" ht="14.25" customHeight="1" x14ac:dyDescent="0.35">
      <c r="A20" s="4" t="s">
        <v>625</v>
      </c>
      <c r="B20" s="31">
        <v>-7.0000000000000007E-2</v>
      </c>
      <c r="C20" s="31">
        <v>4.68</v>
      </c>
      <c r="D20" s="31">
        <v>8.15</v>
      </c>
      <c r="E20" s="31">
        <v>2.62</v>
      </c>
      <c r="F20" s="5" t="s">
        <v>13</v>
      </c>
      <c r="G20" s="5" t="s">
        <v>13</v>
      </c>
      <c r="H20" s="5" t="s">
        <v>13</v>
      </c>
      <c r="I20" s="31">
        <v>-0.25</v>
      </c>
      <c r="K20" s="20">
        <v>184.37</v>
      </c>
      <c r="M20" s="18">
        <v>0.3</v>
      </c>
      <c r="N20" s="18">
        <v>0.95</v>
      </c>
    </row>
    <row r="21" spans="1:14" ht="14.25" customHeight="1" x14ac:dyDescent="0.35">
      <c r="A21" s="4" t="s">
        <v>626</v>
      </c>
      <c r="B21" s="31">
        <v>-0.26</v>
      </c>
      <c r="C21" s="31">
        <v>5.77</v>
      </c>
      <c r="D21" s="31">
        <v>5.72</v>
      </c>
      <c r="E21" s="31">
        <v>3.87</v>
      </c>
      <c r="F21" s="31">
        <v>6.42</v>
      </c>
      <c r="G21" s="31">
        <v>11.26</v>
      </c>
      <c r="H21" s="5" t="s">
        <v>13</v>
      </c>
      <c r="I21" s="31">
        <v>8.98</v>
      </c>
      <c r="K21" s="20">
        <v>134.11000000000001</v>
      </c>
      <c r="M21" s="18">
        <v>0.38</v>
      </c>
      <c r="N21" s="18">
        <v>1.05</v>
      </c>
    </row>
    <row r="22" spans="1:14" ht="14.25" customHeight="1" x14ac:dyDescent="0.35">
      <c r="A22" s="4" t="s">
        <v>627</v>
      </c>
      <c r="B22" s="31">
        <v>-1.01</v>
      </c>
      <c r="C22" s="31">
        <v>2.85</v>
      </c>
      <c r="D22" s="31">
        <v>6.41</v>
      </c>
      <c r="E22" s="31">
        <v>1.08</v>
      </c>
      <c r="F22" s="31">
        <v>4.84</v>
      </c>
      <c r="G22" s="5" t="s">
        <v>13</v>
      </c>
      <c r="H22" s="5" t="s">
        <v>13</v>
      </c>
      <c r="I22" s="31">
        <v>1.42</v>
      </c>
      <c r="K22" s="20">
        <v>95.45</v>
      </c>
      <c r="M22" s="18">
        <v>0.39</v>
      </c>
      <c r="N22" s="18">
        <v>1.1000000000000001</v>
      </c>
    </row>
    <row r="23" spans="1:14" ht="14.25" customHeight="1" x14ac:dyDescent="0.35">
      <c r="A23" s="4" t="s">
        <v>628</v>
      </c>
      <c r="B23" s="31">
        <v>0.36</v>
      </c>
      <c r="C23" s="31">
        <v>2.04</v>
      </c>
      <c r="D23" s="31">
        <v>3.03</v>
      </c>
      <c r="E23" s="31">
        <v>3.73</v>
      </c>
      <c r="F23" s="31">
        <v>5.83</v>
      </c>
      <c r="G23" s="31">
        <v>18.32</v>
      </c>
      <c r="H23" s="5" t="s">
        <v>13</v>
      </c>
      <c r="I23" s="31">
        <v>18.75</v>
      </c>
      <c r="K23" s="20">
        <v>1723.34</v>
      </c>
      <c r="M23" s="18">
        <v>0.43</v>
      </c>
      <c r="N23" s="18">
        <v>1.1100000000000001</v>
      </c>
    </row>
    <row r="24" spans="1:14" ht="14.25" customHeight="1" x14ac:dyDescent="0.35">
      <c r="A24" s="4" t="s">
        <v>629</v>
      </c>
      <c r="B24" s="31">
        <v>1.18</v>
      </c>
      <c r="C24" s="31">
        <v>2.13</v>
      </c>
      <c r="D24" s="31">
        <v>-0.84</v>
      </c>
      <c r="E24" s="31">
        <v>2.67</v>
      </c>
      <c r="F24" s="31">
        <v>3.91</v>
      </c>
      <c r="G24" s="5" t="s">
        <v>13</v>
      </c>
      <c r="H24" s="5" t="s">
        <v>13</v>
      </c>
      <c r="I24" s="31">
        <v>-4.42</v>
      </c>
      <c r="K24" s="20">
        <v>596.09</v>
      </c>
      <c r="M24" s="18">
        <v>0.36</v>
      </c>
      <c r="N24" s="18">
        <v>1.03</v>
      </c>
    </row>
    <row r="25" spans="1:14" ht="14.25" customHeight="1" x14ac:dyDescent="0.35">
      <c r="A25" s="4" t="s">
        <v>630</v>
      </c>
      <c r="B25" s="31">
        <v>-0.65</v>
      </c>
      <c r="C25" s="31">
        <v>3.2</v>
      </c>
      <c r="D25" s="31">
        <v>5.43</v>
      </c>
      <c r="E25" s="31">
        <v>5.26</v>
      </c>
      <c r="F25" s="31">
        <v>10.23</v>
      </c>
      <c r="G25" s="31">
        <v>16.61</v>
      </c>
      <c r="H25" s="5" t="s">
        <v>13</v>
      </c>
      <c r="I25" s="31">
        <v>14.01</v>
      </c>
      <c r="K25" s="20">
        <v>505.08</v>
      </c>
      <c r="M25" s="18">
        <v>0.4</v>
      </c>
      <c r="N25" s="18">
        <v>0.87</v>
      </c>
    </row>
    <row r="26" spans="1:14" ht="14.25" customHeight="1" x14ac:dyDescent="0.35">
      <c r="A26" s="4" t="s">
        <v>631</v>
      </c>
      <c r="B26" s="31">
        <v>-0.67</v>
      </c>
      <c r="C26" s="31">
        <v>3.88</v>
      </c>
      <c r="D26" s="31">
        <v>6.55</v>
      </c>
      <c r="E26" s="31">
        <v>-3.91</v>
      </c>
      <c r="F26" s="31">
        <v>1.03</v>
      </c>
      <c r="G26" s="5" t="s">
        <v>13</v>
      </c>
      <c r="H26" s="5" t="s">
        <v>13</v>
      </c>
      <c r="I26" s="31">
        <v>2.59</v>
      </c>
      <c r="K26" s="20">
        <v>90.69</v>
      </c>
      <c r="M26" s="18">
        <v>0.3</v>
      </c>
      <c r="N26" s="18">
        <v>0.79</v>
      </c>
    </row>
    <row r="27" spans="1:14" ht="14.25" customHeight="1" x14ac:dyDescent="0.35">
      <c r="A27" s="4" t="s">
        <v>632</v>
      </c>
      <c r="B27" s="31">
        <v>-0.93</v>
      </c>
      <c r="C27" s="31">
        <v>2.9</v>
      </c>
      <c r="D27" s="31">
        <v>5.17</v>
      </c>
      <c r="E27" s="31">
        <v>0.44</v>
      </c>
      <c r="F27" s="31">
        <v>3.43</v>
      </c>
      <c r="G27" s="5" t="s">
        <v>13</v>
      </c>
      <c r="H27" s="5" t="s">
        <v>13</v>
      </c>
      <c r="I27" s="31">
        <v>3.06</v>
      </c>
      <c r="K27" s="20">
        <v>221.99</v>
      </c>
      <c r="M27" s="18">
        <v>0.4</v>
      </c>
      <c r="N27" s="18">
        <v>0.9</v>
      </c>
    </row>
    <row r="28" spans="1:14" ht="14.25" customHeight="1" x14ac:dyDescent="0.35">
      <c r="A28" s="4" t="s">
        <v>633</v>
      </c>
      <c r="B28" s="31">
        <v>-0.24</v>
      </c>
      <c r="C28" s="31">
        <v>5.79</v>
      </c>
      <c r="D28" s="31">
        <v>5.64</v>
      </c>
      <c r="E28" s="31">
        <v>3.78</v>
      </c>
      <c r="F28" s="31">
        <v>6.27</v>
      </c>
      <c r="G28" s="5" t="s">
        <v>13</v>
      </c>
      <c r="H28" s="5" t="s">
        <v>13</v>
      </c>
      <c r="I28" s="31">
        <v>7.78</v>
      </c>
      <c r="K28" s="20">
        <v>142.51</v>
      </c>
      <c r="M28" s="18">
        <v>0.4</v>
      </c>
      <c r="N28" s="18">
        <v>0.85</v>
      </c>
    </row>
    <row r="29" spans="1:14" ht="14.25" customHeight="1" x14ac:dyDescent="0.35">
      <c r="A29" s="4" t="s">
        <v>634</v>
      </c>
      <c r="B29" s="31">
        <v>0.06</v>
      </c>
      <c r="C29" s="31">
        <v>1.29</v>
      </c>
      <c r="D29" s="31">
        <v>2.2999999999999998</v>
      </c>
      <c r="E29" s="31">
        <v>-1.0900000000000001</v>
      </c>
      <c r="F29" s="31">
        <v>2.5499999999999998</v>
      </c>
      <c r="G29" s="5" t="s">
        <v>13</v>
      </c>
      <c r="H29" s="5" t="s">
        <v>13</v>
      </c>
      <c r="I29" s="31">
        <v>1.62</v>
      </c>
      <c r="K29" s="20">
        <v>620.44000000000005</v>
      </c>
      <c r="M29" s="18">
        <v>0.4</v>
      </c>
      <c r="N29" s="18">
        <v>0.85</v>
      </c>
    </row>
    <row r="30" spans="1:14" ht="14.25" customHeight="1" x14ac:dyDescent="0.35">
      <c r="A30" s="4" t="s">
        <v>635</v>
      </c>
      <c r="B30" s="31">
        <v>-0.99</v>
      </c>
      <c r="C30" s="31">
        <v>2.5299999999999998</v>
      </c>
      <c r="D30" s="31">
        <v>3.68</v>
      </c>
      <c r="E30" s="31">
        <v>1.02</v>
      </c>
      <c r="F30" s="31">
        <v>7.81</v>
      </c>
      <c r="G30" s="31">
        <v>14.2</v>
      </c>
      <c r="H30" s="5" t="s">
        <v>13</v>
      </c>
      <c r="I30" s="31">
        <v>13.66</v>
      </c>
      <c r="K30" s="20">
        <v>1747.33</v>
      </c>
      <c r="M30" s="18">
        <v>0.4</v>
      </c>
      <c r="N30" s="18">
        <v>0.86</v>
      </c>
    </row>
    <row r="31" spans="1:14" ht="14.25" customHeight="1" x14ac:dyDescent="0.35">
      <c r="A31" s="4" t="s">
        <v>678</v>
      </c>
      <c r="B31" s="31">
        <v>-0.18</v>
      </c>
      <c r="C31" s="31">
        <v>3.14</v>
      </c>
      <c r="D31" s="31">
        <v>4</v>
      </c>
      <c r="E31" s="31">
        <v>4.2699999999999996</v>
      </c>
      <c r="F31" s="31">
        <v>12.47</v>
      </c>
      <c r="G31" s="5" t="s">
        <v>13</v>
      </c>
      <c r="H31" s="5" t="s">
        <v>13</v>
      </c>
      <c r="I31" s="31">
        <v>11.15</v>
      </c>
      <c r="K31" s="20">
        <v>2081.15</v>
      </c>
      <c r="M31" s="18">
        <v>0.82</v>
      </c>
      <c r="N31" s="18">
        <v>1.75</v>
      </c>
    </row>
    <row r="32" spans="1:14" ht="14.25" customHeight="1" x14ac:dyDescent="0.35">
      <c r="A32" s="4" t="s">
        <v>636</v>
      </c>
      <c r="B32" s="31">
        <v>0.06</v>
      </c>
      <c r="C32" s="31">
        <v>1.3</v>
      </c>
      <c r="D32" s="31">
        <v>2.33</v>
      </c>
      <c r="E32" s="31">
        <v>-1</v>
      </c>
      <c r="F32" s="31">
        <v>2.65</v>
      </c>
      <c r="G32" s="31">
        <v>12.61</v>
      </c>
      <c r="H32" s="5" t="s">
        <v>13</v>
      </c>
      <c r="I32" s="31">
        <v>13.91</v>
      </c>
      <c r="K32" s="20">
        <v>560.91</v>
      </c>
      <c r="M32" s="18">
        <v>0.32</v>
      </c>
      <c r="N32" s="18">
        <v>1</v>
      </c>
    </row>
    <row r="33" spans="1:14" ht="14.25" customHeight="1" x14ac:dyDescent="0.35">
      <c r="A33" s="4" t="s">
        <v>637</v>
      </c>
      <c r="B33" s="31">
        <v>-0.56999999999999995</v>
      </c>
      <c r="C33" s="31">
        <v>4.97</v>
      </c>
      <c r="D33" s="31">
        <v>4.62</v>
      </c>
      <c r="E33" s="31">
        <v>3.74</v>
      </c>
      <c r="F33" s="31">
        <v>4.83</v>
      </c>
      <c r="G33" s="5" t="s">
        <v>13</v>
      </c>
      <c r="H33" s="5" t="s">
        <v>13</v>
      </c>
      <c r="I33" s="31">
        <v>1.43</v>
      </c>
      <c r="K33" s="20">
        <v>24.81</v>
      </c>
      <c r="M33" s="18">
        <v>0.39</v>
      </c>
      <c r="N33" s="18">
        <v>0.8</v>
      </c>
    </row>
    <row r="34" spans="1:14" ht="14.25" customHeight="1" x14ac:dyDescent="0.35">
      <c r="A34" s="4" t="s">
        <v>638</v>
      </c>
      <c r="B34" s="31">
        <v>-2.0499999999999998</v>
      </c>
      <c r="C34" s="31">
        <v>0.7</v>
      </c>
      <c r="D34" s="31">
        <v>-2.95</v>
      </c>
      <c r="E34" s="31">
        <v>-2.23</v>
      </c>
      <c r="F34" s="31">
        <v>18.97</v>
      </c>
      <c r="G34" s="5" t="s">
        <v>13</v>
      </c>
      <c r="H34" s="5" t="s">
        <v>13</v>
      </c>
      <c r="I34" s="31">
        <v>6</v>
      </c>
      <c r="K34" s="20">
        <v>213.92</v>
      </c>
      <c r="M34" s="18">
        <v>0.38</v>
      </c>
      <c r="N34" s="18">
        <v>0.86</v>
      </c>
    </row>
    <row r="35" spans="1:14" ht="14.25" customHeight="1" x14ac:dyDescent="0.35">
      <c r="A35" s="4" t="s">
        <v>639</v>
      </c>
      <c r="B35" s="31">
        <v>-0.98</v>
      </c>
      <c r="C35" s="31">
        <v>2.5299999999999998</v>
      </c>
      <c r="D35" s="31">
        <v>3.69</v>
      </c>
      <c r="E35" s="31">
        <v>1.08</v>
      </c>
      <c r="F35" s="31">
        <v>7.83</v>
      </c>
      <c r="G35" s="31">
        <v>14.13</v>
      </c>
      <c r="H35" s="5" t="s">
        <v>13</v>
      </c>
      <c r="I35" s="31">
        <v>15.46</v>
      </c>
      <c r="K35" s="20">
        <v>250.62</v>
      </c>
      <c r="M35" s="18">
        <v>0.26</v>
      </c>
      <c r="N35" s="18">
        <v>1</v>
      </c>
    </row>
    <row r="36" spans="1:14" ht="14.25" customHeight="1" x14ac:dyDescent="0.35">
      <c r="A36" s="4" t="s">
        <v>640</v>
      </c>
      <c r="B36" s="31">
        <v>-1.48</v>
      </c>
      <c r="C36" s="31">
        <v>-0.04</v>
      </c>
      <c r="D36" s="31">
        <v>0.96</v>
      </c>
      <c r="E36" s="31">
        <v>-7.48</v>
      </c>
      <c r="F36" s="31">
        <v>-3.25</v>
      </c>
      <c r="G36" s="5" t="s">
        <v>13</v>
      </c>
      <c r="H36" s="5" t="s">
        <v>13</v>
      </c>
      <c r="I36" s="31">
        <v>0.83</v>
      </c>
      <c r="K36" s="20">
        <v>98.7</v>
      </c>
      <c r="M36" s="18">
        <v>0.25</v>
      </c>
      <c r="N36" s="18">
        <v>0.63</v>
      </c>
    </row>
    <row r="37" spans="1:14" ht="14.25" customHeight="1" x14ac:dyDescent="0.35">
      <c r="A37" s="4" t="s">
        <v>641</v>
      </c>
      <c r="B37" s="31">
        <v>-0.65</v>
      </c>
      <c r="C37" s="31">
        <v>3.22</v>
      </c>
      <c r="D37" s="31">
        <v>5.55</v>
      </c>
      <c r="E37" s="31">
        <v>5.53</v>
      </c>
      <c r="F37" s="31">
        <v>10.39</v>
      </c>
      <c r="G37" s="5" t="s">
        <v>13</v>
      </c>
      <c r="H37" s="5" t="s">
        <v>13</v>
      </c>
      <c r="I37" s="31">
        <v>8.08</v>
      </c>
      <c r="K37" s="20">
        <v>44.24</v>
      </c>
      <c r="M37" s="18">
        <v>0.22</v>
      </c>
      <c r="N37" s="18">
        <v>0.72</v>
      </c>
    </row>
    <row r="38" spans="1:14" ht="14.25" customHeight="1" x14ac:dyDescent="0.35">
      <c r="A38" s="4" t="s">
        <v>642</v>
      </c>
      <c r="B38" s="31">
        <v>-0.92</v>
      </c>
      <c r="C38" s="31">
        <v>2.91</v>
      </c>
      <c r="D38" s="31">
        <v>5.36</v>
      </c>
      <c r="E38" s="31">
        <v>0.55000000000000004</v>
      </c>
      <c r="F38" s="31">
        <v>3.58</v>
      </c>
      <c r="G38" s="5" t="s">
        <v>13</v>
      </c>
      <c r="H38" s="5" t="s">
        <v>13</v>
      </c>
      <c r="I38" s="31">
        <v>4.96</v>
      </c>
      <c r="K38" s="20">
        <v>113.07</v>
      </c>
      <c r="M38" s="18">
        <v>0.2</v>
      </c>
      <c r="N38" s="18">
        <v>0.83</v>
      </c>
    </row>
    <row r="39" spans="1:14" ht="14.25" customHeight="1" x14ac:dyDescent="0.35">
      <c r="A39" s="4" t="s">
        <v>643</v>
      </c>
      <c r="B39" s="31">
        <v>0.06</v>
      </c>
      <c r="C39" s="31">
        <v>1.3</v>
      </c>
      <c r="D39" s="31">
        <v>2.37</v>
      </c>
      <c r="E39" s="31">
        <v>-0.97</v>
      </c>
      <c r="F39" s="31">
        <v>2.75</v>
      </c>
      <c r="G39" s="31">
        <v>12.83</v>
      </c>
      <c r="H39" s="5" t="s">
        <v>13</v>
      </c>
      <c r="I39" s="31">
        <v>13.25</v>
      </c>
      <c r="K39" s="20">
        <v>575.29</v>
      </c>
      <c r="M39" s="18">
        <v>0.2</v>
      </c>
      <c r="N39" s="18">
        <v>0.66</v>
      </c>
    </row>
    <row r="40" spans="1:14" ht="14.25" customHeight="1" x14ac:dyDescent="0.35">
      <c r="A40" s="4" t="s">
        <v>644</v>
      </c>
      <c r="B40" s="31">
        <v>-0.56999999999999995</v>
      </c>
      <c r="C40" s="31">
        <v>5.0199999999999996</v>
      </c>
      <c r="D40" s="31">
        <v>4.78</v>
      </c>
      <c r="E40" s="31">
        <v>3.95</v>
      </c>
      <c r="F40" s="31">
        <v>5.07</v>
      </c>
      <c r="G40" s="5" t="s">
        <v>13</v>
      </c>
      <c r="H40" s="5" t="s">
        <v>13</v>
      </c>
      <c r="I40" s="31">
        <v>1.89</v>
      </c>
      <c r="K40" s="20">
        <v>16.579999999999998</v>
      </c>
      <c r="M40" s="18">
        <v>0.23</v>
      </c>
      <c r="N40" s="18">
        <v>0.6</v>
      </c>
    </row>
    <row r="41" spans="1:14" ht="14.25" customHeight="1" x14ac:dyDescent="0.35">
      <c r="A41" s="4" t="s">
        <v>645</v>
      </c>
      <c r="B41" s="31">
        <v>-0.98</v>
      </c>
      <c r="C41" s="31">
        <v>2.56</v>
      </c>
      <c r="D41" s="31">
        <v>3.82</v>
      </c>
      <c r="E41" s="31">
        <v>1.1100000000000001</v>
      </c>
      <c r="F41" s="31">
        <v>7.82</v>
      </c>
      <c r="G41" s="5" t="s">
        <v>13</v>
      </c>
      <c r="H41" s="5" t="s">
        <v>13</v>
      </c>
      <c r="I41" s="31">
        <v>8.3800000000000008</v>
      </c>
      <c r="K41" s="20">
        <v>60.97</v>
      </c>
      <c r="M41" s="18">
        <v>0.22</v>
      </c>
      <c r="N41" s="18">
        <v>0.72</v>
      </c>
    </row>
    <row r="42" spans="1:14" ht="14.25" customHeight="1" x14ac:dyDescent="0.35">
      <c r="A42" s="4" t="s">
        <v>646</v>
      </c>
      <c r="B42" s="31">
        <v>0.28999999999999998</v>
      </c>
      <c r="C42" s="31">
        <v>4.1500000000000004</v>
      </c>
      <c r="D42" s="31">
        <v>7.7</v>
      </c>
      <c r="E42" s="31">
        <v>11.54</v>
      </c>
      <c r="F42" s="5" t="s">
        <v>13</v>
      </c>
      <c r="G42" s="5" t="s">
        <v>13</v>
      </c>
      <c r="H42" s="5" t="s">
        <v>13</v>
      </c>
      <c r="I42" s="31">
        <v>9.01</v>
      </c>
      <c r="K42" s="20">
        <v>38.31</v>
      </c>
      <c r="M42" s="18">
        <v>0.35</v>
      </c>
      <c r="N42" s="18">
        <v>0.94</v>
      </c>
    </row>
    <row r="43" spans="1:14" ht="14.25" customHeight="1" x14ac:dyDescent="0.35">
      <c r="A43" s="4" t="s">
        <v>647</v>
      </c>
      <c r="B43" s="31">
        <v>0.37</v>
      </c>
      <c r="C43" s="31">
        <v>2.04</v>
      </c>
      <c r="D43" s="31">
        <v>2.79</v>
      </c>
      <c r="E43" s="31">
        <v>3.55</v>
      </c>
      <c r="F43" s="31">
        <v>5.84</v>
      </c>
      <c r="G43" s="5" t="s">
        <v>13</v>
      </c>
      <c r="H43" s="5" t="s">
        <v>13</v>
      </c>
      <c r="I43" s="31">
        <v>-1.74</v>
      </c>
      <c r="K43" s="20">
        <v>432.08</v>
      </c>
      <c r="M43" s="18">
        <v>0.28000000000000003</v>
      </c>
      <c r="N43" s="18">
        <v>0.93</v>
      </c>
    </row>
    <row r="44" spans="1:14" ht="14.25" customHeight="1" x14ac:dyDescent="0.35">
      <c r="A44" s="4" t="s">
        <v>648</v>
      </c>
      <c r="B44" s="31">
        <v>-0.99</v>
      </c>
      <c r="C44" s="31">
        <v>1.39</v>
      </c>
      <c r="D44" s="31">
        <v>3.05</v>
      </c>
      <c r="E44" s="31">
        <v>-6.91</v>
      </c>
      <c r="F44" s="31">
        <v>-6.38</v>
      </c>
      <c r="G44" s="5" t="s">
        <v>13</v>
      </c>
      <c r="H44" s="5" t="s">
        <v>13</v>
      </c>
      <c r="I44" s="31">
        <v>-6.09</v>
      </c>
      <c r="K44" s="20">
        <v>40.65</v>
      </c>
      <c r="M44" s="18">
        <v>0.22</v>
      </c>
      <c r="N44" s="18">
        <v>0.92</v>
      </c>
    </row>
    <row r="45" spans="1:14" ht="14.25" customHeight="1" x14ac:dyDescent="0.35">
      <c r="A45" s="4" t="s">
        <v>649</v>
      </c>
      <c r="B45" s="31">
        <v>-2.06</v>
      </c>
      <c r="C45" s="31">
        <v>0.61</v>
      </c>
      <c r="D45" s="31">
        <v>-2.91</v>
      </c>
      <c r="E45" s="5">
        <v>-2.57</v>
      </c>
      <c r="F45" s="5" t="s">
        <v>13</v>
      </c>
      <c r="G45" s="5" t="s">
        <v>13</v>
      </c>
      <c r="H45" s="5" t="s">
        <v>13</v>
      </c>
      <c r="I45" s="31">
        <v>-2.81</v>
      </c>
      <c r="K45" s="20">
        <v>30.84</v>
      </c>
      <c r="M45" s="18">
        <v>0.21</v>
      </c>
      <c r="N45" s="18">
        <v>0.52</v>
      </c>
    </row>
    <row r="46" spans="1:14" ht="14.25" customHeight="1" x14ac:dyDescent="0.35">
      <c r="A46" s="4" t="s">
        <v>650</v>
      </c>
      <c r="B46" s="31">
        <v>0.54</v>
      </c>
      <c r="C46" s="31">
        <v>2.59</v>
      </c>
      <c r="D46" s="31">
        <v>3.9</v>
      </c>
      <c r="E46" s="31">
        <v>4.67</v>
      </c>
      <c r="F46" s="5" t="s">
        <v>13</v>
      </c>
      <c r="G46" s="5" t="s">
        <v>13</v>
      </c>
      <c r="H46" s="5" t="s">
        <v>13</v>
      </c>
      <c r="I46" s="31">
        <v>3.47</v>
      </c>
      <c r="K46" s="20">
        <v>24.3</v>
      </c>
      <c r="M46" s="18">
        <v>0.19</v>
      </c>
      <c r="N46" s="18">
        <v>0.52</v>
      </c>
    </row>
    <row r="47" spans="1:14" ht="14.25" customHeight="1" x14ac:dyDescent="0.35">
      <c r="A47" s="4" t="s">
        <v>651</v>
      </c>
      <c r="B47" s="31">
        <v>-0.44</v>
      </c>
      <c r="C47" s="31">
        <v>1.96</v>
      </c>
      <c r="D47" s="31">
        <v>5.19</v>
      </c>
      <c r="E47" s="31">
        <v>2.34</v>
      </c>
      <c r="F47" s="31">
        <v>5.0199999999999996</v>
      </c>
      <c r="G47" s="5" t="s">
        <v>13</v>
      </c>
      <c r="H47" s="5" t="s">
        <v>13</v>
      </c>
      <c r="I47" s="31">
        <v>3.25</v>
      </c>
      <c r="K47" s="20">
        <v>51.15</v>
      </c>
      <c r="M47" s="18">
        <v>0.3</v>
      </c>
      <c r="N47" s="18">
        <v>0.97</v>
      </c>
    </row>
    <row r="48" spans="1:14" ht="14.25" customHeight="1" x14ac:dyDescent="0.35">
      <c r="A48" s="4" t="s">
        <v>652</v>
      </c>
      <c r="B48" s="31">
        <v>0.05</v>
      </c>
      <c r="C48" s="31">
        <v>1.29</v>
      </c>
      <c r="D48" s="31">
        <v>2.2799999999999998</v>
      </c>
      <c r="E48" s="31">
        <v>-1.07</v>
      </c>
      <c r="F48" s="31">
        <v>2.4</v>
      </c>
      <c r="G48" s="31">
        <v>12.79</v>
      </c>
      <c r="H48" s="5" t="s">
        <v>13</v>
      </c>
      <c r="I48" s="31">
        <v>10.19</v>
      </c>
      <c r="K48" s="20">
        <v>971.62</v>
      </c>
      <c r="M48" s="18">
        <v>0.32</v>
      </c>
      <c r="N48" s="18">
        <v>1.01</v>
      </c>
    </row>
    <row r="49" spans="1:14" ht="14.25" customHeight="1" x14ac:dyDescent="0.35">
      <c r="A49" s="4" t="s">
        <v>677</v>
      </c>
      <c r="B49" s="31">
        <v>1.4</v>
      </c>
      <c r="C49" s="31">
        <v>4.74</v>
      </c>
      <c r="D49" s="31">
        <v>11.2</v>
      </c>
      <c r="E49" s="31">
        <v>18.55</v>
      </c>
      <c r="F49" s="31">
        <v>29.57</v>
      </c>
      <c r="G49" s="5" t="s">
        <v>13</v>
      </c>
      <c r="H49" s="5" t="s">
        <v>13</v>
      </c>
      <c r="I49" s="31">
        <v>28.21</v>
      </c>
      <c r="K49" s="20">
        <v>942.4</v>
      </c>
      <c r="M49" s="18">
        <v>1.85</v>
      </c>
      <c r="N49" s="18">
        <v>1.94</v>
      </c>
    </row>
    <row r="50" spans="1:14" ht="14.25" customHeight="1" x14ac:dyDescent="0.35">
      <c r="A50" s="4" t="s">
        <v>653</v>
      </c>
      <c r="B50" s="31">
        <v>0.54</v>
      </c>
      <c r="C50" s="31">
        <v>2.58</v>
      </c>
      <c r="D50" s="31">
        <v>3.83</v>
      </c>
      <c r="E50" s="31">
        <v>4.57</v>
      </c>
      <c r="F50" s="31">
        <v>6.07</v>
      </c>
      <c r="G50" s="5" t="s">
        <v>13</v>
      </c>
      <c r="H50" s="5" t="s">
        <v>13</v>
      </c>
      <c r="I50" s="31">
        <v>-8.33</v>
      </c>
      <c r="K50" s="20">
        <v>801.48</v>
      </c>
      <c r="M50" s="18">
        <v>0.44</v>
      </c>
      <c r="N50" s="18">
        <v>1.1100000000000001</v>
      </c>
    </row>
    <row r="51" spans="1:14" ht="14.25" customHeight="1" x14ac:dyDescent="0.35">
      <c r="A51" s="4" t="s">
        <v>654</v>
      </c>
      <c r="B51" s="31">
        <v>0.26</v>
      </c>
      <c r="C51" s="31">
        <v>2.76</v>
      </c>
      <c r="D51" s="31">
        <v>7.94</v>
      </c>
      <c r="E51" s="31">
        <v>14.54</v>
      </c>
      <c r="F51" s="31">
        <v>8.68</v>
      </c>
      <c r="G51" s="5" t="s">
        <v>13</v>
      </c>
      <c r="H51" s="5" t="s">
        <v>13</v>
      </c>
      <c r="I51" s="31">
        <v>14.81</v>
      </c>
      <c r="K51" s="20">
        <v>38.33</v>
      </c>
      <c r="M51" s="18">
        <v>0.3</v>
      </c>
      <c r="N51" s="18">
        <v>0.98</v>
      </c>
    </row>
    <row r="52" spans="1:14" ht="14.25" customHeight="1" x14ac:dyDescent="0.35">
      <c r="A52" s="4" t="s">
        <v>655</v>
      </c>
      <c r="B52" s="31">
        <v>-1.48</v>
      </c>
      <c r="C52" s="31">
        <v>-0.04</v>
      </c>
      <c r="D52" s="31">
        <v>0.9</v>
      </c>
      <c r="E52" s="31">
        <v>-7.53</v>
      </c>
      <c r="F52" s="31">
        <v>-3.34</v>
      </c>
      <c r="G52" s="31">
        <v>7.41</v>
      </c>
      <c r="H52" s="31">
        <v>8.5299999999999994</v>
      </c>
      <c r="I52" s="31">
        <v>11.11</v>
      </c>
      <c r="K52" s="20">
        <v>860.12</v>
      </c>
      <c r="M52" s="18">
        <v>0.25</v>
      </c>
      <c r="N52" s="18">
        <v>0.78</v>
      </c>
    </row>
    <row r="53" spans="1:14" ht="14.25" customHeight="1" x14ac:dyDescent="0.35">
      <c r="A53" s="4" t="s">
        <v>656</v>
      </c>
      <c r="B53" s="31">
        <v>-0.43</v>
      </c>
      <c r="C53" s="31">
        <v>1.72</v>
      </c>
      <c r="D53" s="31">
        <v>6.51</v>
      </c>
      <c r="E53" s="31">
        <v>9.56</v>
      </c>
      <c r="F53" s="31">
        <v>8.5399999999999991</v>
      </c>
      <c r="G53" s="5" t="s">
        <v>13</v>
      </c>
      <c r="H53" s="5" t="s">
        <v>13</v>
      </c>
      <c r="I53" s="31">
        <v>0.04</v>
      </c>
      <c r="K53" s="20">
        <v>505.59</v>
      </c>
      <c r="M53" s="18">
        <v>0.35</v>
      </c>
      <c r="N53" s="18">
        <v>0.97</v>
      </c>
    </row>
    <row r="54" spans="1:14" ht="14.25" customHeight="1" x14ac:dyDescent="0.35">
      <c r="A54" s="4" t="s">
        <v>657</v>
      </c>
      <c r="B54" s="31">
        <v>-1.07</v>
      </c>
      <c r="C54" s="31">
        <v>2.34</v>
      </c>
      <c r="D54" s="31">
        <v>2.92</v>
      </c>
      <c r="E54" s="31">
        <v>-0.56000000000000005</v>
      </c>
      <c r="F54" s="31">
        <v>6.17</v>
      </c>
      <c r="G54" s="5" t="s">
        <v>13</v>
      </c>
      <c r="H54" s="5" t="s">
        <v>13</v>
      </c>
      <c r="I54" s="31">
        <v>7.33</v>
      </c>
      <c r="K54" s="20">
        <v>28.96</v>
      </c>
      <c r="M54" s="18">
        <v>0.35</v>
      </c>
      <c r="N54" s="18">
        <v>0.95</v>
      </c>
    </row>
    <row r="55" spans="1:14" ht="14.25" customHeight="1" x14ac:dyDescent="0.35">
      <c r="A55" s="4" t="s">
        <v>658</v>
      </c>
      <c r="B55" s="31">
        <v>0.54</v>
      </c>
      <c r="C55" s="31">
        <v>2.59</v>
      </c>
      <c r="D55" s="31">
        <v>4.4400000000000004</v>
      </c>
      <c r="E55" s="31">
        <v>5.23</v>
      </c>
      <c r="F55" s="31">
        <v>7.04</v>
      </c>
      <c r="G55" s="5" t="s">
        <v>13</v>
      </c>
      <c r="H55" s="5" t="s">
        <v>13</v>
      </c>
      <c r="I55" s="31">
        <v>-7.88</v>
      </c>
      <c r="K55" s="20">
        <v>1254.8</v>
      </c>
      <c r="M55" s="18">
        <v>0.25</v>
      </c>
      <c r="N55" s="18">
        <v>0.88</v>
      </c>
    </row>
    <row r="56" spans="1:14" ht="14.25" customHeight="1" x14ac:dyDescent="0.35">
      <c r="A56" s="4" t="s">
        <v>659</v>
      </c>
      <c r="B56" s="31">
        <v>-0.17</v>
      </c>
      <c r="C56" s="31">
        <v>2.0299999999999998</v>
      </c>
      <c r="D56" s="31">
        <v>3.54</v>
      </c>
      <c r="E56" s="31">
        <v>8.32</v>
      </c>
      <c r="F56" s="31">
        <v>7.07</v>
      </c>
      <c r="G56" s="5" t="s">
        <v>13</v>
      </c>
      <c r="H56" s="5" t="s">
        <v>13</v>
      </c>
      <c r="I56" s="31">
        <v>9.43</v>
      </c>
      <c r="K56" s="20">
        <v>42.84</v>
      </c>
      <c r="M56" s="18">
        <v>0.35</v>
      </c>
      <c r="N56" s="18">
        <v>0.9</v>
      </c>
    </row>
    <row r="57" spans="1:14" ht="14.25" customHeight="1" x14ac:dyDescent="0.35">
      <c r="A57" s="4" t="s">
        <v>660</v>
      </c>
      <c r="B57" s="31">
        <v>-1.01</v>
      </c>
      <c r="C57" s="31">
        <v>2.86</v>
      </c>
      <c r="D57" s="31">
        <v>6.45</v>
      </c>
      <c r="E57" s="31">
        <v>1.19</v>
      </c>
      <c r="F57" s="31">
        <v>4.92</v>
      </c>
      <c r="G57" s="31">
        <v>12.8</v>
      </c>
      <c r="H57" s="5" t="s">
        <v>13</v>
      </c>
      <c r="I57" s="31">
        <v>13.43</v>
      </c>
      <c r="K57" s="20">
        <v>1282.8800000000001</v>
      </c>
      <c r="M57" s="18">
        <v>0.35</v>
      </c>
      <c r="N57" s="18">
        <v>0.86</v>
      </c>
    </row>
    <row r="58" spans="1:14" ht="14.25" customHeight="1" x14ac:dyDescent="0.35">
      <c r="A58" s="4" t="s">
        <v>661</v>
      </c>
      <c r="B58" s="31">
        <v>-0.93</v>
      </c>
      <c r="C58" s="31">
        <v>2.89</v>
      </c>
      <c r="D58" s="31">
        <v>5.17</v>
      </c>
      <c r="E58" s="31">
        <v>0.42</v>
      </c>
      <c r="F58" s="31">
        <v>3.46</v>
      </c>
      <c r="G58" s="5" t="s">
        <v>13</v>
      </c>
      <c r="H58" s="5" t="s">
        <v>13</v>
      </c>
      <c r="I58" s="31">
        <v>3.92</v>
      </c>
      <c r="K58" s="20">
        <v>59.51</v>
      </c>
      <c r="M58" s="18">
        <v>0.4</v>
      </c>
      <c r="N58" s="18">
        <v>0.79</v>
      </c>
    </row>
    <row r="59" spans="1:14" ht="14.25" customHeight="1" x14ac:dyDescent="0.35">
      <c r="A59" s="4" t="s">
        <v>662</v>
      </c>
      <c r="B59" s="31">
        <v>0.05</v>
      </c>
      <c r="C59" s="31">
        <v>1.29</v>
      </c>
      <c r="D59" s="31">
        <v>2.25</v>
      </c>
      <c r="E59" s="31">
        <v>-1.1000000000000001</v>
      </c>
      <c r="F59" s="31">
        <v>2.5099999999999998</v>
      </c>
      <c r="G59" s="5" t="s">
        <v>13</v>
      </c>
      <c r="H59" s="5" t="s">
        <v>13</v>
      </c>
      <c r="I59" s="31">
        <v>-1.33</v>
      </c>
      <c r="K59" s="20">
        <v>127.59</v>
      </c>
      <c r="M59" s="18">
        <v>0.41</v>
      </c>
      <c r="N59" s="18">
        <v>0.79</v>
      </c>
    </row>
    <row r="60" spans="1:14" ht="14.25" customHeight="1" x14ac:dyDescent="0.35">
      <c r="A60" s="4" t="s">
        <v>663</v>
      </c>
      <c r="B60" s="31">
        <v>-0.56999999999999995</v>
      </c>
      <c r="C60" s="31">
        <v>5</v>
      </c>
      <c r="D60" s="31">
        <v>4.66</v>
      </c>
      <c r="E60" s="31">
        <v>3.8</v>
      </c>
      <c r="F60" s="31">
        <v>4.8899999999999997</v>
      </c>
      <c r="G60" s="5" t="s">
        <v>13</v>
      </c>
      <c r="H60" s="5" t="s">
        <v>13</v>
      </c>
      <c r="I60" s="31">
        <v>2.76</v>
      </c>
      <c r="K60" s="20">
        <v>312.47000000000003</v>
      </c>
      <c r="M60" s="18">
        <v>0.35</v>
      </c>
      <c r="N60" s="18">
        <v>0.82</v>
      </c>
    </row>
    <row r="61" spans="1:14" ht="14.25" customHeight="1" x14ac:dyDescent="0.35">
      <c r="A61" s="4" t="s">
        <v>664</v>
      </c>
      <c r="B61" s="31">
        <v>-0.99</v>
      </c>
      <c r="C61" s="31">
        <v>2.52</v>
      </c>
      <c r="D61" s="31">
        <v>3.67</v>
      </c>
      <c r="E61" s="31">
        <v>1.01</v>
      </c>
      <c r="F61" s="31">
        <v>7.8</v>
      </c>
      <c r="G61" s="5" t="s">
        <v>13</v>
      </c>
      <c r="H61" s="5" t="s">
        <v>13</v>
      </c>
      <c r="I61" s="31">
        <v>9.1</v>
      </c>
      <c r="K61" s="20">
        <v>1050.8699999999999</v>
      </c>
      <c r="M61" s="18">
        <v>0.45</v>
      </c>
      <c r="N61" s="18">
        <v>0.94</v>
      </c>
    </row>
    <row r="62" spans="1:14" ht="14.25" customHeight="1" x14ac:dyDescent="0.35">
      <c r="A62" s="4" t="s">
        <v>665</v>
      </c>
      <c r="B62" s="31">
        <v>-0.65</v>
      </c>
      <c r="C62" s="31">
        <v>3.17</v>
      </c>
      <c r="D62" s="31">
        <v>5.56</v>
      </c>
      <c r="E62" s="31">
        <v>5.53</v>
      </c>
      <c r="F62" s="31">
        <v>10.43</v>
      </c>
      <c r="G62" s="31">
        <v>16.489999999999998</v>
      </c>
      <c r="H62" s="31">
        <v>13.2</v>
      </c>
      <c r="I62" s="31">
        <v>12.38</v>
      </c>
      <c r="K62" s="20">
        <v>142.37</v>
      </c>
      <c r="M62" s="18">
        <v>0.49</v>
      </c>
      <c r="N62" s="18">
        <v>1.05</v>
      </c>
    </row>
    <row r="63" spans="1:14" ht="14.25" customHeight="1" x14ac:dyDescent="0.35">
      <c r="A63" s="4" t="s">
        <v>666</v>
      </c>
      <c r="B63" s="31">
        <v>-0.97</v>
      </c>
      <c r="C63" s="31">
        <v>2.56</v>
      </c>
      <c r="D63" s="31">
        <v>2.19</v>
      </c>
      <c r="E63" s="31">
        <v>6.49</v>
      </c>
      <c r="F63" s="31">
        <v>9.36</v>
      </c>
      <c r="G63" s="5" t="s">
        <v>13</v>
      </c>
      <c r="H63" s="5" t="s">
        <v>13</v>
      </c>
      <c r="I63" s="31">
        <v>12.3</v>
      </c>
      <c r="K63" s="20">
        <v>57.63</v>
      </c>
      <c r="M63" s="18">
        <v>0.3</v>
      </c>
      <c r="N63" s="18">
        <v>1.06</v>
      </c>
    </row>
    <row r="64" spans="1:14" ht="14.25" customHeight="1" x14ac:dyDescent="0.35">
      <c r="A64" s="4" t="s">
        <v>667</v>
      </c>
      <c r="B64" s="31">
        <v>0.36</v>
      </c>
      <c r="C64" s="31">
        <v>2.0299999999999998</v>
      </c>
      <c r="D64" s="31">
        <v>2.64</v>
      </c>
      <c r="E64" s="31">
        <v>3.35</v>
      </c>
      <c r="F64" s="31">
        <v>5.45</v>
      </c>
      <c r="G64" s="31">
        <v>17.739999999999998</v>
      </c>
      <c r="H64" s="5" t="s">
        <v>13</v>
      </c>
      <c r="I64" s="31">
        <v>17.989999999999998</v>
      </c>
      <c r="K64" s="20">
        <v>1201.6600000000001</v>
      </c>
      <c r="M64" s="18">
        <v>0.44</v>
      </c>
      <c r="N64" s="18">
        <v>1.05</v>
      </c>
    </row>
    <row r="65" spans="1:14" ht="14.25" customHeight="1" x14ac:dyDescent="0.35">
      <c r="A65" s="4" t="s">
        <v>668</v>
      </c>
      <c r="B65" s="31">
        <v>-1.05</v>
      </c>
      <c r="C65" s="31">
        <v>1.32</v>
      </c>
      <c r="D65" s="31">
        <v>1.72</v>
      </c>
      <c r="E65" s="31">
        <v>-2.68</v>
      </c>
      <c r="F65" s="31">
        <v>0.44</v>
      </c>
      <c r="G65" s="31">
        <v>9.34</v>
      </c>
      <c r="H65" s="5" t="s">
        <v>13</v>
      </c>
      <c r="I65" s="31">
        <v>12.04</v>
      </c>
      <c r="K65" s="20">
        <v>479.19</v>
      </c>
      <c r="M65" s="18">
        <v>0.43</v>
      </c>
      <c r="N65" s="18">
        <v>0.9</v>
      </c>
    </row>
    <row r="66" spans="1:14" ht="14.25" customHeight="1" x14ac:dyDescent="0.35">
      <c r="A66" s="4" t="s">
        <v>669</v>
      </c>
      <c r="B66" s="31">
        <v>-0.99</v>
      </c>
      <c r="C66" s="31">
        <v>2.5299999999999998</v>
      </c>
      <c r="D66" s="31">
        <v>3.75</v>
      </c>
      <c r="E66" s="31">
        <v>1.1100000000000001</v>
      </c>
      <c r="F66" s="31">
        <v>7.96</v>
      </c>
      <c r="G66" s="31">
        <v>14.07</v>
      </c>
      <c r="H66" s="5" t="s">
        <v>13</v>
      </c>
      <c r="I66" s="31">
        <v>14.66</v>
      </c>
      <c r="K66" s="20">
        <v>147.83000000000001</v>
      </c>
      <c r="M66" s="18">
        <v>0.32</v>
      </c>
      <c r="N66" s="18">
        <v>0.78</v>
      </c>
    </row>
    <row r="67" spans="1:14" ht="14.25" customHeight="1" x14ac:dyDescent="0.35">
      <c r="A67" s="4" t="s">
        <v>670</v>
      </c>
      <c r="B67" s="31">
        <v>-2.06</v>
      </c>
      <c r="C67" s="31">
        <v>0.84</v>
      </c>
      <c r="D67" s="31">
        <v>-2.84</v>
      </c>
      <c r="E67" s="31">
        <v>-0.63</v>
      </c>
      <c r="F67" s="31">
        <v>17.5</v>
      </c>
      <c r="G67" s="31">
        <v>25.62</v>
      </c>
      <c r="H67" s="5" t="s">
        <v>13</v>
      </c>
      <c r="I67" s="31">
        <v>27.96</v>
      </c>
      <c r="K67" s="20">
        <v>774.96</v>
      </c>
      <c r="M67" s="18">
        <v>0.63</v>
      </c>
      <c r="N67" s="18">
        <v>1.0900000000000001</v>
      </c>
    </row>
    <row r="68" spans="1:14" ht="14.25" customHeight="1" x14ac:dyDescent="0.35">
      <c r="A68" s="4" t="s">
        <v>671</v>
      </c>
      <c r="B68" s="31">
        <v>-1.02</v>
      </c>
      <c r="C68" s="31">
        <v>2.83</v>
      </c>
      <c r="D68" s="31">
        <v>6.38</v>
      </c>
      <c r="E68" s="31">
        <v>1.06</v>
      </c>
      <c r="F68" s="31">
        <v>4.74</v>
      </c>
      <c r="G68" s="5" t="s">
        <v>13</v>
      </c>
      <c r="H68" s="5" t="s">
        <v>13</v>
      </c>
      <c r="I68" s="31">
        <v>0.02</v>
      </c>
      <c r="K68" s="20">
        <v>73.510000000000005</v>
      </c>
      <c r="M68" s="18">
        <v>0.78</v>
      </c>
      <c r="N68" s="18">
        <v>1.1200000000000001</v>
      </c>
    </row>
    <row r="69" spans="1:14" ht="14.25" customHeight="1" x14ac:dyDescent="0.35">
      <c r="A69" s="4" t="s">
        <v>672</v>
      </c>
      <c r="B69" s="31">
        <v>0.02</v>
      </c>
      <c r="C69" s="31">
        <v>3.42</v>
      </c>
      <c r="D69" s="31">
        <v>6.03</v>
      </c>
      <c r="E69" s="31">
        <v>7.12</v>
      </c>
      <c r="F69" s="31">
        <v>4.54</v>
      </c>
      <c r="G69" s="31">
        <v>11.32</v>
      </c>
      <c r="H69" s="5" t="s">
        <v>13</v>
      </c>
      <c r="I69" s="31">
        <v>9.4</v>
      </c>
      <c r="K69" s="20">
        <v>244.72</v>
      </c>
      <c r="M69" s="18">
        <v>0.59</v>
      </c>
      <c r="N69" s="18">
        <v>1.04</v>
      </c>
    </row>
    <row r="70" spans="1:14" ht="14.25" customHeight="1" x14ac:dyDescent="0.35">
      <c r="A70" s="4" t="s">
        <v>673</v>
      </c>
      <c r="B70" s="31">
        <v>0.2</v>
      </c>
      <c r="C70" s="31">
        <v>2.83</v>
      </c>
      <c r="D70" s="31">
        <v>3.66</v>
      </c>
      <c r="E70" s="31">
        <v>10.36</v>
      </c>
      <c r="F70" s="31">
        <v>9.44</v>
      </c>
      <c r="G70" s="5" t="s">
        <v>13</v>
      </c>
      <c r="H70" s="5" t="s">
        <v>13</v>
      </c>
      <c r="I70" s="31">
        <v>12.37</v>
      </c>
      <c r="K70" s="20">
        <v>120.14</v>
      </c>
      <c r="M70" s="18">
        <v>0.65</v>
      </c>
      <c r="N70" s="18">
        <v>1.1000000000000001</v>
      </c>
    </row>
    <row r="71" spans="1:14" ht="14.25" customHeight="1" x14ac:dyDescent="0.35">
      <c r="A71" s="4" t="s">
        <v>674</v>
      </c>
      <c r="B71" s="31">
        <v>0.05</v>
      </c>
      <c r="C71" s="31">
        <v>1.3</v>
      </c>
      <c r="D71" s="31">
        <v>2.4500000000000002</v>
      </c>
      <c r="E71" s="31">
        <v>-0.87</v>
      </c>
      <c r="F71" s="31">
        <v>2.79</v>
      </c>
      <c r="G71" s="31">
        <v>13.12</v>
      </c>
      <c r="H71" s="31">
        <v>10.89</v>
      </c>
      <c r="I71" s="31">
        <v>15.17</v>
      </c>
      <c r="K71" s="20">
        <v>8541.2099999999991</v>
      </c>
      <c r="M71" s="18">
        <v>0.43</v>
      </c>
      <c r="N71" s="18">
        <v>0.9</v>
      </c>
    </row>
    <row r="72" spans="1:14" ht="14.25" customHeight="1" x14ac:dyDescent="0.35">
      <c r="A72" s="4" t="s">
        <v>675</v>
      </c>
      <c r="B72" s="31">
        <v>-0.56999999999999995</v>
      </c>
      <c r="C72" s="31">
        <v>5.01</v>
      </c>
      <c r="D72" s="31">
        <v>4.67</v>
      </c>
      <c r="E72" s="31">
        <v>3.78</v>
      </c>
      <c r="F72" s="31">
        <v>4.82</v>
      </c>
      <c r="G72" s="5" t="s">
        <v>13</v>
      </c>
      <c r="H72" s="5" t="s">
        <v>13</v>
      </c>
      <c r="I72" s="31">
        <v>-4.26</v>
      </c>
      <c r="K72" s="20">
        <v>542.95000000000005</v>
      </c>
      <c r="M72" s="18">
        <v>0.7</v>
      </c>
      <c r="N72" s="18">
        <v>1.1000000000000001</v>
      </c>
    </row>
    <row r="73" spans="1:14" ht="14.25" customHeight="1" x14ac:dyDescent="0.35">
      <c r="A73" s="7" t="s">
        <v>49</v>
      </c>
      <c r="B73" s="32">
        <f t="shared" ref="B73:H73" si="0">MEDIAN(B3:B72)</f>
        <v>-0.56999999999999995</v>
      </c>
      <c r="C73" s="32">
        <f t="shared" si="0"/>
        <v>2.56</v>
      </c>
      <c r="D73" s="32">
        <f t="shared" si="0"/>
        <v>3.8250000000000002</v>
      </c>
      <c r="E73" s="32">
        <f t="shared" si="0"/>
        <v>1.7649999999999999</v>
      </c>
      <c r="F73" s="32">
        <f>MEDIAN(F3:F72)</f>
        <v>5.26</v>
      </c>
      <c r="G73" s="32">
        <f>MEDIAN(G3:G72)</f>
        <v>12.975</v>
      </c>
      <c r="H73" s="8">
        <f t="shared" si="0"/>
        <v>13.2</v>
      </c>
      <c r="I73" s="32">
        <f>MEDIAN(I3:I72)</f>
        <v>7.93</v>
      </c>
    </row>
  </sheetData>
  <mergeCells count="1">
    <mergeCell ref="M1:N1"/>
  </mergeCells>
  <conditionalFormatting sqref="F3:F72">
    <cfRule type="expression" dxfId="2" priority="9">
      <formula>AND(ISNUMBER(F3),F3&gt;MEDIAN($F$3:$F$72))</formula>
    </cfRule>
  </conditionalFormatting>
  <conditionalFormatting sqref="G3:G72">
    <cfRule type="expression" dxfId="1" priority="11">
      <formula>AND(ISNUMBER(G3),G3&gt;MEDIAN($G$3:$G$72))</formula>
    </cfRule>
  </conditionalFormatting>
  <conditionalFormatting sqref="H3:H72">
    <cfRule type="expression" dxfId="0" priority="13">
      <formula>AND(ISNUMBER(H3),H3&gt;MEDIAN($H$3:$H$72))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Small Cap</vt:lpstr>
      <vt:lpstr>Mid Cap</vt:lpstr>
      <vt:lpstr>Flexi Cap</vt:lpstr>
      <vt:lpstr>Large Cap</vt:lpstr>
      <vt:lpstr>Contra Fund</vt:lpstr>
      <vt:lpstr>Dividend Yield Funds</vt:lpstr>
      <vt:lpstr>ELSS</vt:lpstr>
      <vt:lpstr>Focused Funds</vt:lpstr>
      <vt:lpstr>Large&amp;Mid</vt:lpstr>
      <vt:lpstr>Multi Cap</vt:lpstr>
      <vt:lpstr>Value Funds</vt:lpstr>
      <vt:lpstr>Arbitrage Funds</vt:lpstr>
      <vt:lpstr>BAF</vt:lpstr>
      <vt:lpstr>Equity Saving</vt:lpstr>
      <vt:lpstr>BenchMark Returns</vt:lpstr>
      <vt:lpstr>Consumption</vt:lpstr>
      <vt:lpstr>Financials</vt:lpstr>
      <vt:lpstr>Digital</vt:lpstr>
      <vt:lpstr>Healthcare</vt:lpstr>
      <vt:lpstr>Infrastructure</vt:lpstr>
      <vt:lpstr>Manufacturing</vt:lpstr>
      <vt:lpstr>PSU</vt:lpstr>
      <vt:lpstr>Energy</vt:lpstr>
      <vt:lpstr>Transportation &amp; Logistics</vt:lpstr>
      <vt:lpstr>Services</vt:lpstr>
      <vt:lpstr>Exports</vt:lpstr>
      <vt:lpstr>Smart Beta Strategy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Raghvani</dc:creator>
  <dc:description/>
  <cp:lastModifiedBy>Yash Raghvani</cp:lastModifiedBy>
  <cp:revision>0</cp:revision>
  <dcterms:created xsi:type="dcterms:W3CDTF">2026-07-22T07:07:23Z</dcterms:created>
  <dcterms:modified xsi:type="dcterms:W3CDTF">2026-08-15T08:44:24Z</dcterms:modified>
  <dc:language>en-US</dc:language>
</cp:coreProperties>
</file>